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4355" windowHeight="5445"/>
  </bookViews>
  <sheets>
    <sheet name="Table4_Cost_Benefit_Analysis" sheetId="3" r:id="rId1"/>
    <sheet name="Nominal_cost_bsl_year" sheetId="2" r:id="rId2"/>
    <sheet name="IRR_Inputs" sheetId="7" r:id="rId3"/>
    <sheet name="IRR_Calculations" sheetId="8" r:id="rId4"/>
  </sheets>
  <calcPr calcId="145621"/>
</workbook>
</file>

<file path=xl/calcChain.xml><?xml version="1.0" encoding="utf-8"?>
<calcChain xmlns="http://schemas.openxmlformats.org/spreadsheetml/2006/main">
  <c r="C6" i="7" l="1"/>
  <c r="D6" i="7"/>
  <c r="E6" i="7"/>
  <c r="F6" i="7"/>
  <c r="G6" i="7"/>
  <c r="B6" i="7"/>
  <c r="C4" i="7"/>
  <c r="C5" i="8" s="1"/>
  <c r="D4" i="7"/>
  <c r="E4" i="7"/>
  <c r="F4" i="7"/>
  <c r="F5" i="8" s="1"/>
  <c r="G4" i="7"/>
  <c r="G5" i="8" s="1"/>
  <c r="C5" i="7"/>
  <c r="D5" i="7"/>
  <c r="D105" i="8" s="1"/>
  <c r="E5" i="7"/>
  <c r="E141" i="8" s="1"/>
  <c r="F5" i="7"/>
  <c r="G5" i="7"/>
  <c r="C159" i="8"/>
  <c r="B5" i="7"/>
  <c r="B65" i="8" s="1"/>
  <c r="B4" i="7"/>
  <c r="D3" i="7"/>
  <c r="E3" i="7"/>
  <c r="F3" i="7"/>
  <c r="G3" i="7"/>
  <c r="C3" i="7"/>
  <c r="B3" i="7"/>
  <c r="C2" i="7"/>
  <c r="D2" i="7"/>
  <c r="E2" i="7"/>
  <c r="F2" i="7"/>
  <c r="F3" i="8" s="1"/>
  <c r="G2" i="7"/>
  <c r="B2" i="7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B54" i="3"/>
  <c r="B55" i="3"/>
  <c r="B56" i="3"/>
  <c r="B57" i="3"/>
  <c r="B53" i="3"/>
  <c r="C64" i="3"/>
  <c r="E64" i="3"/>
  <c r="F64" i="3"/>
  <c r="G64" i="3"/>
  <c r="B64" i="3"/>
  <c r="B66" i="3"/>
  <c r="B65" i="3"/>
  <c r="C65" i="3"/>
  <c r="D65" i="3"/>
  <c r="E65" i="3"/>
  <c r="F65" i="3"/>
  <c r="G65" i="3"/>
  <c r="C66" i="3"/>
  <c r="D66" i="3"/>
  <c r="E66" i="3"/>
  <c r="F66" i="3"/>
  <c r="G66" i="3"/>
  <c r="C61" i="3"/>
  <c r="D61" i="3"/>
  <c r="E61" i="3"/>
  <c r="F61" i="3"/>
  <c r="G61" i="3"/>
  <c r="B61" i="3"/>
  <c r="C60" i="3"/>
  <c r="D60" i="3"/>
  <c r="E60" i="3"/>
  <c r="F60" i="3"/>
  <c r="G60" i="3"/>
  <c r="B60" i="3"/>
  <c r="C47" i="3"/>
  <c r="D47" i="3"/>
  <c r="E47" i="3"/>
  <c r="F47" i="3"/>
  <c r="G47" i="3"/>
  <c r="B47" i="3"/>
  <c r="C46" i="3"/>
  <c r="D46" i="3"/>
  <c r="E46" i="3"/>
  <c r="F46" i="3"/>
  <c r="G46" i="3"/>
  <c r="B46" i="3"/>
  <c r="B42" i="3"/>
  <c r="B41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B39" i="3"/>
  <c r="B38" i="3"/>
  <c r="B37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B27" i="3"/>
  <c r="B26" i="3"/>
  <c r="B25" i="3"/>
  <c r="G36" i="3"/>
  <c r="F36" i="3"/>
  <c r="E36" i="3"/>
  <c r="D36" i="3"/>
  <c r="C36" i="3"/>
  <c r="B36" i="3"/>
  <c r="G35" i="3"/>
  <c r="F35" i="3"/>
  <c r="E35" i="3"/>
  <c r="D35" i="3"/>
  <c r="C35" i="3"/>
  <c r="B35" i="3"/>
  <c r="G24" i="3"/>
  <c r="F24" i="3"/>
  <c r="E24" i="3"/>
  <c r="D24" i="3"/>
  <c r="C24" i="3"/>
  <c r="B24" i="3"/>
  <c r="G162" i="8"/>
  <c r="E155" i="8"/>
  <c r="C152" i="8"/>
  <c r="G148" i="8"/>
  <c r="G144" i="8"/>
  <c r="G141" i="8"/>
  <c r="C131" i="8"/>
  <c r="G130" i="8"/>
  <c r="G128" i="8"/>
  <c r="E126" i="8"/>
  <c r="G123" i="8"/>
  <c r="G121" i="8"/>
  <c r="D121" i="8"/>
  <c r="G116" i="8"/>
  <c r="C112" i="8"/>
  <c r="G109" i="8"/>
  <c r="E108" i="8"/>
  <c r="G107" i="8"/>
  <c r="C104" i="8"/>
  <c r="G103" i="8"/>
  <c r="G102" i="8"/>
  <c r="G101" i="8"/>
  <c r="C97" i="8"/>
  <c r="G95" i="8"/>
  <c r="E93" i="8"/>
  <c r="G90" i="8"/>
  <c r="G87" i="8"/>
  <c r="E87" i="8"/>
  <c r="E84" i="8"/>
  <c r="G83" i="8"/>
  <c r="G81" i="8"/>
  <c r="G79" i="8"/>
  <c r="G75" i="8"/>
  <c r="D75" i="8"/>
  <c r="G73" i="8"/>
  <c r="G71" i="8"/>
  <c r="D70" i="8"/>
  <c r="G67" i="8"/>
  <c r="D67" i="8"/>
  <c r="E66" i="8"/>
  <c r="G65" i="8"/>
  <c r="G63" i="8"/>
  <c r="D62" i="8"/>
  <c r="E60" i="8"/>
  <c r="G59" i="8"/>
  <c r="D59" i="8"/>
  <c r="E58" i="8"/>
  <c r="G57" i="8"/>
  <c r="G55" i="8"/>
  <c r="D54" i="8"/>
  <c r="E52" i="8"/>
  <c r="G51" i="8"/>
  <c r="G49" i="8"/>
  <c r="G47" i="8"/>
  <c r="G43" i="8"/>
  <c r="D43" i="8"/>
  <c r="G41" i="8"/>
  <c r="G39" i="8"/>
  <c r="C39" i="8"/>
  <c r="G35" i="8"/>
  <c r="D35" i="8"/>
  <c r="G33" i="8"/>
  <c r="C33" i="8"/>
  <c r="G31" i="8"/>
  <c r="C29" i="8"/>
  <c r="E28" i="8"/>
  <c r="G27" i="8"/>
  <c r="G25" i="8"/>
  <c r="G23" i="8"/>
  <c r="C23" i="8"/>
  <c r="D22" i="8"/>
  <c r="E20" i="8"/>
  <c r="G19" i="8"/>
  <c r="G17" i="8"/>
  <c r="C17" i="8"/>
  <c r="G15" i="8"/>
  <c r="G13" i="8"/>
  <c r="E12" i="8"/>
  <c r="G11" i="8"/>
  <c r="E10" i="8"/>
  <c r="D10" i="8"/>
  <c r="G9" i="8"/>
  <c r="D9" i="8"/>
  <c r="E8" i="8"/>
  <c r="D8" i="8"/>
  <c r="G7" i="8"/>
  <c r="D7" i="8"/>
  <c r="C7" i="8"/>
  <c r="E6" i="8"/>
  <c r="F4" i="8"/>
  <c r="E4" i="8"/>
  <c r="B4" i="8"/>
  <c r="G3" i="8"/>
  <c r="C3" i="8"/>
  <c r="B3" i="8"/>
  <c r="G160" i="8"/>
  <c r="E5" i="8"/>
  <c r="D5" i="8"/>
  <c r="G4" i="8"/>
  <c r="E3" i="8"/>
  <c r="D3" i="8"/>
  <c r="C4" i="8"/>
  <c r="E135" i="8" l="1"/>
  <c r="E14" i="8"/>
  <c r="E18" i="8"/>
  <c r="E26" i="8"/>
  <c r="E36" i="8"/>
  <c r="E44" i="8"/>
  <c r="E50" i="8"/>
  <c r="E76" i="8"/>
  <c r="E82" i="8"/>
  <c r="E86" i="8"/>
  <c r="E88" i="8"/>
  <c r="E94" i="8"/>
  <c r="E101" i="8"/>
  <c r="E109" i="8"/>
  <c r="E128" i="8"/>
  <c r="E148" i="8"/>
  <c r="D12" i="8"/>
  <c r="D19" i="8"/>
  <c r="D27" i="8"/>
  <c r="D30" i="8"/>
  <c r="E34" i="8"/>
  <c r="D38" i="8"/>
  <c r="E42" i="8"/>
  <c r="D46" i="8"/>
  <c r="D51" i="8"/>
  <c r="E68" i="8"/>
  <c r="E74" i="8"/>
  <c r="D78" i="8"/>
  <c r="D83" i="8"/>
  <c r="D87" i="8"/>
  <c r="E89" i="8"/>
  <c r="E95" i="8"/>
  <c r="C9" i="8"/>
  <c r="C15" i="8"/>
  <c r="C21" i="8"/>
  <c r="C25" i="8"/>
  <c r="C31" i="8"/>
  <c r="C37" i="8"/>
  <c r="C41" i="8"/>
  <c r="C47" i="8"/>
  <c r="C53" i="8"/>
  <c r="C57" i="8"/>
  <c r="C63" i="8"/>
  <c r="C69" i="8"/>
  <c r="C73" i="8"/>
  <c r="C79" i="8"/>
  <c r="C85" i="8"/>
  <c r="C91" i="8"/>
  <c r="C98" i="8"/>
  <c r="C105" i="8"/>
  <c r="C114" i="8"/>
  <c r="C150" i="8"/>
  <c r="C11" i="8"/>
  <c r="C13" i="8"/>
  <c r="C92" i="8"/>
  <c r="C99" i="8"/>
  <c r="C138" i="8"/>
  <c r="C156" i="8"/>
  <c r="C45" i="8"/>
  <c r="C49" i="8"/>
  <c r="C55" i="8"/>
  <c r="C61" i="8"/>
  <c r="C65" i="8"/>
  <c r="C71" i="8"/>
  <c r="C77" i="8"/>
  <c r="C81" i="8"/>
  <c r="C93" i="8"/>
  <c r="C100" i="8"/>
  <c r="C106" i="8"/>
  <c r="C119" i="8"/>
  <c r="C126" i="8"/>
  <c r="B5" i="8"/>
  <c r="F162" i="8"/>
  <c r="F160" i="8"/>
  <c r="F158" i="8"/>
  <c r="F156" i="8"/>
  <c r="F154" i="8"/>
  <c r="F152" i="8"/>
  <c r="F150" i="8"/>
  <c r="F148" i="8"/>
  <c r="F146" i="8"/>
  <c r="F144" i="8"/>
  <c r="F142" i="8"/>
  <c r="F140" i="8"/>
  <c r="F138" i="8"/>
  <c r="F161" i="8"/>
  <c r="F159" i="8"/>
  <c r="F157" i="8"/>
  <c r="F155" i="8"/>
  <c r="F153" i="8"/>
  <c r="F151" i="8"/>
  <c r="F149" i="8"/>
  <c r="F147" i="8"/>
  <c r="F145" i="8"/>
  <c r="F143" i="8"/>
  <c r="F141" i="8"/>
  <c r="F139" i="8"/>
  <c r="F137" i="8"/>
  <c r="F135" i="8"/>
  <c r="F133" i="8"/>
  <c r="F131" i="8"/>
  <c r="F129" i="8"/>
  <c r="F127" i="8"/>
  <c r="F125" i="8"/>
  <c r="F123" i="8"/>
  <c r="F121" i="8"/>
  <c r="F119" i="8"/>
  <c r="F117" i="8"/>
  <c r="F115" i="8"/>
  <c r="F113" i="8"/>
  <c r="F111" i="8"/>
  <c r="F109" i="8"/>
  <c r="F107" i="8"/>
  <c r="F136" i="8"/>
  <c r="F128" i="8"/>
  <c r="F120" i="8"/>
  <c r="F112" i="8"/>
  <c r="F105" i="8"/>
  <c r="F103" i="8"/>
  <c r="F101" i="8"/>
  <c r="F99" i="8"/>
  <c r="F97" i="8"/>
  <c r="F95" i="8"/>
  <c r="F93" i="8"/>
  <c r="F91" i="8"/>
  <c r="F89" i="8"/>
  <c r="F87" i="8"/>
  <c r="F130" i="8"/>
  <c r="F124" i="8"/>
  <c r="F118" i="8"/>
  <c r="F98" i="8"/>
  <c r="F90" i="8"/>
  <c r="F132" i="8"/>
  <c r="F126" i="8"/>
  <c r="F134" i="8"/>
  <c r="F104" i="8"/>
  <c r="F79" i="8"/>
  <c r="F78" i="8"/>
  <c r="F71" i="8"/>
  <c r="F70" i="8"/>
  <c r="F63" i="8"/>
  <c r="F62" i="8"/>
  <c r="F55" i="8"/>
  <c r="F54" i="8"/>
  <c r="F47" i="8"/>
  <c r="F46" i="8"/>
  <c r="F39" i="8"/>
  <c r="F38" i="8"/>
  <c r="F31" i="8"/>
  <c r="F30" i="8"/>
  <c r="F23" i="8"/>
  <c r="F22" i="8"/>
  <c r="F15" i="8"/>
  <c r="F44" i="8"/>
  <c r="F37" i="8"/>
  <c r="F29" i="8"/>
  <c r="F21" i="8"/>
  <c r="F12" i="8"/>
  <c r="F122" i="8"/>
  <c r="F110" i="8"/>
  <c r="F108" i="8"/>
  <c r="F92" i="8"/>
  <c r="F86" i="8"/>
  <c r="F85" i="8"/>
  <c r="F84" i="8"/>
  <c r="F77" i="8"/>
  <c r="F76" i="8"/>
  <c r="F69" i="8"/>
  <c r="F68" i="8"/>
  <c r="F61" i="8"/>
  <c r="F60" i="8"/>
  <c r="F53" i="8"/>
  <c r="F52" i="8"/>
  <c r="F45" i="8"/>
  <c r="F36" i="8"/>
  <c r="F28" i="8"/>
  <c r="F20" i="8"/>
  <c r="F14" i="8"/>
  <c r="B10" i="8"/>
  <c r="B16" i="8"/>
  <c r="F25" i="8"/>
  <c r="F33" i="8"/>
  <c r="B40" i="8"/>
  <c r="B56" i="8"/>
  <c r="F65" i="8"/>
  <c r="F73" i="8"/>
  <c r="B80" i="8"/>
  <c r="F102" i="8"/>
  <c r="F6" i="8"/>
  <c r="F13" i="8"/>
  <c r="F16" i="8"/>
  <c r="F19" i="8"/>
  <c r="B23" i="8"/>
  <c r="F32" i="8"/>
  <c r="F35" i="8"/>
  <c r="B39" i="8"/>
  <c r="F48" i="8"/>
  <c r="F51" i="8"/>
  <c r="B55" i="8"/>
  <c r="F64" i="8"/>
  <c r="F72" i="8"/>
  <c r="F75" i="8"/>
  <c r="F80" i="8"/>
  <c r="D161" i="8"/>
  <c r="D159" i="8"/>
  <c r="D157" i="8"/>
  <c r="D155" i="8"/>
  <c r="D153" i="8"/>
  <c r="D151" i="8"/>
  <c r="D149" i="8"/>
  <c r="D147" i="8"/>
  <c r="D145" i="8"/>
  <c r="D143" i="8"/>
  <c r="D141" i="8"/>
  <c r="D139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31" i="8"/>
  <c r="D123" i="8"/>
  <c r="D115" i="8"/>
  <c r="D107" i="8"/>
  <c r="D104" i="8"/>
  <c r="D102" i="8"/>
  <c r="D100" i="8"/>
  <c r="D98" i="8"/>
  <c r="D96" i="8"/>
  <c r="D94" i="8"/>
  <c r="D92" i="8"/>
  <c r="D90" i="8"/>
  <c r="D88" i="8"/>
  <c r="D86" i="8"/>
  <c r="D135" i="8"/>
  <c r="D129" i="8"/>
  <c r="D109" i="8"/>
  <c r="D101" i="8"/>
  <c r="D93" i="8"/>
  <c r="D137" i="8"/>
  <c r="D117" i="8"/>
  <c r="D111" i="8"/>
  <c r="D125" i="8"/>
  <c r="D113" i="8"/>
  <c r="D95" i="8"/>
  <c r="D89" i="8"/>
  <c r="D82" i="8"/>
  <c r="D81" i="8"/>
  <c r="D74" i="8"/>
  <c r="D73" i="8"/>
  <c r="D66" i="8"/>
  <c r="D65" i="8"/>
  <c r="D58" i="8"/>
  <c r="D57" i="8"/>
  <c r="D50" i="8"/>
  <c r="D49" i="8"/>
  <c r="D42" i="8"/>
  <c r="D41" i="8"/>
  <c r="D34" i="8"/>
  <c r="D33" i="8"/>
  <c r="D26" i="8"/>
  <c r="D25" i="8"/>
  <c r="D18" i="8"/>
  <c r="D17" i="8"/>
  <c r="D48" i="8"/>
  <c r="D39" i="8"/>
  <c r="D32" i="8"/>
  <c r="D24" i="8"/>
  <c r="D23" i="8"/>
  <c r="D15" i="8"/>
  <c r="D127" i="8"/>
  <c r="D103" i="8"/>
  <c r="D97" i="8"/>
  <c r="D91" i="8"/>
  <c r="D80" i="8"/>
  <c r="D79" i="8"/>
  <c r="D72" i="8"/>
  <c r="D71" i="8"/>
  <c r="D64" i="8"/>
  <c r="D63" i="8"/>
  <c r="D56" i="8"/>
  <c r="D55" i="8"/>
  <c r="D47" i="8"/>
  <c r="D40" i="8"/>
  <c r="D31" i="8"/>
  <c r="D16" i="8"/>
  <c r="D13" i="8"/>
  <c r="D4" i="8"/>
  <c r="B6" i="8"/>
  <c r="F9" i="8"/>
  <c r="D11" i="8"/>
  <c r="B25" i="8"/>
  <c r="B33" i="8"/>
  <c r="B49" i="8"/>
  <c r="D53" i="8"/>
  <c r="B57" i="8"/>
  <c r="D85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61" i="8"/>
  <c r="B159" i="8"/>
  <c r="B157" i="8"/>
  <c r="B155" i="8"/>
  <c r="B153" i="8"/>
  <c r="B151" i="8"/>
  <c r="B149" i="8"/>
  <c r="B147" i="8"/>
  <c r="B145" i="8"/>
  <c r="B143" i="8"/>
  <c r="B141" i="8"/>
  <c r="B139" i="8"/>
  <c r="B137" i="8"/>
  <c r="B135" i="8"/>
  <c r="B133" i="8"/>
  <c r="B131" i="8"/>
  <c r="B129" i="8"/>
  <c r="B127" i="8"/>
  <c r="B125" i="8"/>
  <c r="B123" i="8"/>
  <c r="B121" i="8"/>
  <c r="B119" i="8"/>
  <c r="B117" i="8"/>
  <c r="B115" i="8"/>
  <c r="B113" i="8"/>
  <c r="B111" i="8"/>
  <c r="B109" i="8"/>
  <c r="B107" i="8"/>
  <c r="B134" i="8"/>
  <c r="B126" i="8"/>
  <c r="B118" i="8"/>
  <c r="B110" i="8"/>
  <c r="B105" i="8"/>
  <c r="B103" i="8"/>
  <c r="B101" i="8"/>
  <c r="B99" i="8"/>
  <c r="B97" i="8"/>
  <c r="B95" i="8"/>
  <c r="B93" i="8"/>
  <c r="B91" i="8"/>
  <c r="B89" i="8"/>
  <c r="B87" i="8"/>
  <c r="B120" i="8"/>
  <c r="B114" i="8"/>
  <c r="B108" i="8"/>
  <c r="B104" i="8"/>
  <c r="B96" i="8"/>
  <c r="B88" i="8"/>
  <c r="B128" i="8"/>
  <c r="B122" i="8"/>
  <c r="B116" i="8"/>
  <c r="B130" i="8"/>
  <c r="B106" i="8"/>
  <c r="B100" i="8"/>
  <c r="B94" i="8"/>
  <c r="B85" i="8"/>
  <c r="B84" i="8"/>
  <c r="B77" i="8"/>
  <c r="B76" i="8"/>
  <c r="B69" i="8"/>
  <c r="B68" i="8"/>
  <c r="B61" i="8"/>
  <c r="B60" i="8"/>
  <c r="B53" i="8"/>
  <c r="B52" i="8"/>
  <c r="B45" i="8"/>
  <c r="B44" i="8"/>
  <c r="B37" i="8"/>
  <c r="B36" i="8"/>
  <c r="B29" i="8"/>
  <c r="B28" i="8"/>
  <c r="B21" i="8"/>
  <c r="B20" i="8"/>
  <c r="B43" i="8"/>
  <c r="B34" i="8"/>
  <c r="B26" i="8"/>
  <c r="B18" i="8"/>
  <c r="B14" i="8"/>
  <c r="B12" i="8"/>
  <c r="B132" i="8"/>
  <c r="B102" i="8"/>
  <c r="B83" i="8"/>
  <c r="B82" i="8"/>
  <c r="B75" i="8"/>
  <c r="B74" i="8"/>
  <c r="B67" i="8"/>
  <c r="B66" i="8"/>
  <c r="B59" i="8"/>
  <c r="B58" i="8"/>
  <c r="B51" i="8"/>
  <c r="B50" i="8"/>
  <c r="B42" i="8"/>
  <c r="B35" i="8"/>
  <c r="B27" i="8"/>
  <c r="B19" i="8"/>
  <c r="B11" i="8"/>
  <c r="F17" i="8"/>
  <c r="B24" i="8"/>
  <c r="B32" i="8"/>
  <c r="F41" i="8"/>
  <c r="B48" i="8"/>
  <c r="F49" i="8"/>
  <c r="F57" i="8"/>
  <c r="B64" i="8"/>
  <c r="B72" i="8"/>
  <c r="F81" i="8"/>
  <c r="B98" i="8"/>
  <c r="B112" i="8"/>
  <c r="F116" i="8"/>
  <c r="F7" i="8"/>
  <c r="B15" i="8"/>
  <c r="F24" i="8"/>
  <c r="F27" i="8"/>
  <c r="B31" i="8"/>
  <c r="F40" i="8"/>
  <c r="F43" i="8"/>
  <c r="B47" i="8"/>
  <c r="F56" i="8"/>
  <c r="F59" i="8"/>
  <c r="B63" i="8"/>
  <c r="F67" i="8"/>
  <c r="B71" i="8"/>
  <c r="B79" i="8"/>
  <c r="F83" i="8"/>
  <c r="F88" i="8"/>
  <c r="F100" i="8"/>
  <c r="B136" i="8"/>
  <c r="B7" i="8"/>
  <c r="F8" i="8"/>
  <c r="B17" i="8"/>
  <c r="D21" i="8"/>
  <c r="D29" i="8"/>
  <c r="D37" i="8"/>
  <c r="B41" i="8"/>
  <c r="D45" i="8"/>
  <c r="D61" i="8"/>
  <c r="D69" i="8"/>
  <c r="B73" i="8"/>
  <c r="D77" i="8"/>
  <c r="B81" i="8"/>
  <c r="B92" i="8"/>
  <c r="F96" i="8"/>
  <c r="D133" i="8"/>
  <c r="B138" i="8"/>
  <c r="E162" i="8"/>
  <c r="E158" i="8"/>
  <c r="E154" i="8"/>
  <c r="E150" i="8"/>
  <c r="E146" i="8"/>
  <c r="E142" i="8"/>
  <c r="E138" i="8"/>
  <c r="E137" i="8"/>
  <c r="E130" i="8"/>
  <c r="E129" i="8"/>
  <c r="E122" i="8"/>
  <c r="E121" i="8"/>
  <c r="E114" i="8"/>
  <c r="E113" i="8"/>
  <c r="E106" i="8"/>
  <c r="E160" i="8"/>
  <c r="E153" i="8"/>
  <c r="E151" i="8"/>
  <c r="E144" i="8"/>
  <c r="E136" i="8"/>
  <c r="E123" i="8"/>
  <c r="E117" i="8"/>
  <c r="E116" i="8"/>
  <c r="E111" i="8"/>
  <c r="E110" i="8"/>
  <c r="E100" i="8"/>
  <c r="E99" i="8"/>
  <c r="E92" i="8"/>
  <c r="E91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5" i="8"/>
  <c r="E53" i="8"/>
  <c r="E51" i="8"/>
  <c r="E49" i="8"/>
  <c r="E47" i="8"/>
  <c r="E45" i="8"/>
  <c r="E43" i="8"/>
  <c r="E41" i="8"/>
  <c r="E39" i="8"/>
  <c r="E37" i="8"/>
  <c r="E35" i="8"/>
  <c r="E33" i="8"/>
  <c r="E31" i="8"/>
  <c r="E29" i="8"/>
  <c r="E27" i="8"/>
  <c r="E25" i="8"/>
  <c r="E23" i="8"/>
  <c r="E21" i="8"/>
  <c r="E19" i="8"/>
  <c r="E17" i="8"/>
  <c r="E15" i="8"/>
  <c r="E156" i="8"/>
  <c r="E149" i="8"/>
  <c r="E147" i="8"/>
  <c r="E140" i="8"/>
  <c r="E131" i="8"/>
  <c r="E125" i="8"/>
  <c r="E124" i="8"/>
  <c r="E119" i="8"/>
  <c r="E118" i="8"/>
  <c r="E112" i="8"/>
  <c r="E161" i="8"/>
  <c r="E143" i="8"/>
  <c r="E132" i="8"/>
  <c r="E127" i="8"/>
  <c r="E120" i="8"/>
  <c r="E107" i="8"/>
  <c r="E103" i="8"/>
  <c r="E102" i="8"/>
  <c r="E97" i="8"/>
  <c r="E96" i="8"/>
  <c r="E90" i="8"/>
  <c r="E80" i="8"/>
  <c r="E72" i="8"/>
  <c r="E64" i="8"/>
  <c r="E56" i="8"/>
  <c r="E48" i="8"/>
  <c r="E40" i="8"/>
  <c r="E32" i="8"/>
  <c r="E24" i="8"/>
  <c r="E16" i="8"/>
  <c r="E13" i="8"/>
  <c r="E11" i="8"/>
  <c r="E9" i="8"/>
  <c r="E7" i="8"/>
  <c r="E46" i="8"/>
  <c r="E30" i="8"/>
  <c r="E157" i="8"/>
  <c r="E139" i="8"/>
  <c r="E134" i="8"/>
  <c r="E115" i="8"/>
  <c r="E105" i="8"/>
  <c r="E104" i="8"/>
  <c r="E98" i="8"/>
  <c r="E78" i="8"/>
  <c r="E70" i="8"/>
  <c r="E62" i="8"/>
  <c r="E54" i="8"/>
  <c r="E38" i="8"/>
  <c r="E22" i="8"/>
  <c r="D6" i="8"/>
  <c r="B8" i="8"/>
  <c r="B9" i="8"/>
  <c r="F10" i="8"/>
  <c r="F11" i="8"/>
  <c r="B13" i="8"/>
  <c r="D14" i="8"/>
  <c r="F18" i="8"/>
  <c r="D20" i="8"/>
  <c r="B22" i="8"/>
  <c r="F26" i="8"/>
  <c r="D28" i="8"/>
  <c r="B30" i="8"/>
  <c r="F34" i="8"/>
  <c r="D36" i="8"/>
  <c r="B38" i="8"/>
  <c r="F42" i="8"/>
  <c r="D44" i="8"/>
  <c r="B46" i="8"/>
  <c r="F50" i="8"/>
  <c r="D52" i="8"/>
  <c r="B54" i="8"/>
  <c r="F58" i="8"/>
  <c r="D60" i="8"/>
  <c r="B62" i="8"/>
  <c r="F66" i="8"/>
  <c r="D68" i="8"/>
  <c r="B70" i="8"/>
  <c r="F74" i="8"/>
  <c r="D76" i="8"/>
  <c r="B78" i="8"/>
  <c r="F82" i="8"/>
  <c r="D84" i="8"/>
  <c r="B86" i="8"/>
  <c r="B90" i="8"/>
  <c r="F94" i="8"/>
  <c r="D99" i="8"/>
  <c r="F106" i="8"/>
  <c r="F114" i="8"/>
  <c r="D119" i="8"/>
  <c r="B124" i="8"/>
  <c r="E133" i="8"/>
  <c r="E145" i="8"/>
  <c r="E152" i="8"/>
  <c r="E159" i="8"/>
  <c r="C89" i="8"/>
  <c r="C90" i="8"/>
  <c r="G93" i="8"/>
  <c r="G94" i="8"/>
  <c r="C96" i="8"/>
  <c r="G99" i="8"/>
  <c r="G100" i="8"/>
  <c r="C107" i="8"/>
  <c r="C113" i="8"/>
  <c r="G117" i="8"/>
  <c r="C120" i="8"/>
  <c r="G124" i="8"/>
  <c r="G129" i="8"/>
  <c r="G136" i="8"/>
  <c r="C143" i="8"/>
  <c r="G146" i="8"/>
  <c r="G153" i="8"/>
  <c r="C161" i="8"/>
  <c r="C157" i="8"/>
  <c r="C153" i="8"/>
  <c r="C149" i="8"/>
  <c r="C145" i="8"/>
  <c r="C141" i="8"/>
  <c r="C133" i="8"/>
  <c r="C132" i="8"/>
  <c r="C125" i="8"/>
  <c r="C124" i="8"/>
  <c r="C117" i="8"/>
  <c r="C116" i="8"/>
  <c r="C109" i="8"/>
  <c r="C108" i="8"/>
  <c r="C162" i="8"/>
  <c r="C155" i="8"/>
  <c r="C148" i="8"/>
  <c r="C146" i="8"/>
  <c r="C139" i="8"/>
  <c r="C134" i="8"/>
  <c r="C128" i="8"/>
  <c r="C127" i="8"/>
  <c r="C122" i="8"/>
  <c r="C121" i="8"/>
  <c r="C115" i="8"/>
  <c r="C103" i="8"/>
  <c r="C102" i="8"/>
  <c r="C95" i="8"/>
  <c r="C94" i="8"/>
  <c r="C87" i="8"/>
  <c r="C86" i="8"/>
  <c r="C84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60" i="8"/>
  <c r="C158" i="8"/>
  <c r="C151" i="8"/>
  <c r="C144" i="8"/>
  <c r="C142" i="8"/>
  <c r="C136" i="8"/>
  <c r="C135" i="8"/>
  <c r="C130" i="8"/>
  <c r="C129" i="8"/>
  <c r="C123" i="8"/>
  <c r="C110" i="8"/>
  <c r="G159" i="8"/>
  <c r="G155" i="8"/>
  <c r="G151" i="8"/>
  <c r="G147" i="8"/>
  <c r="G143" i="8"/>
  <c r="G139" i="8"/>
  <c r="G135" i="8"/>
  <c r="G134" i="8"/>
  <c r="G127" i="8"/>
  <c r="G126" i="8"/>
  <c r="G119" i="8"/>
  <c r="G118" i="8"/>
  <c r="G111" i="8"/>
  <c r="G110" i="8"/>
  <c r="G158" i="8"/>
  <c r="G156" i="8"/>
  <c r="G149" i="8"/>
  <c r="G142" i="8"/>
  <c r="G140" i="8"/>
  <c r="G137" i="8"/>
  <c r="G132" i="8"/>
  <c r="G131" i="8"/>
  <c r="G125" i="8"/>
  <c r="G112" i="8"/>
  <c r="G106" i="8"/>
  <c r="G105" i="8"/>
  <c r="G104" i="8"/>
  <c r="G97" i="8"/>
  <c r="G96" i="8"/>
  <c r="G89" i="8"/>
  <c r="G88" i="8"/>
  <c r="G84" i="8"/>
  <c r="G82" i="8"/>
  <c r="G80" i="8"/>
  <c r="G78" i="8"/>
  <c r="G76" i="8"/>
  <c r="G74" i="8"/>
  <c r="G72" i="8"/>
  <c r="G70" i="8"/>
  <c r="G68" i="8"/>
  <c r="G66" i="8"/>
  <c r="G64" i="8"/>
  <c r="G62" i="8"/>
  <c r="G60" i="8"/>
  <c r="G58" i="8"/>
  <c r="G56" i="8"/>
  <c r="G54" i="8"/>
  <c r="G52" i="8"/>
  <c r="G50" i="8"/>
  <c r="G48" i="8"/>
  <c r="G46" i="8"/>
  <c r="G44" i="8"/>
  <c r="G42" i="8"/>
  <c r="G40" i="8"/>
  <c r="G38" i="8"/>
  <c r="G36" i="8"/>
  <c r="G34" i="8"/>
  <c r="G32" i="8"/>
  <c r="G30" i="8"/>
  <c r="G28" i="8"/>
  <c r="G26" i="8"/>
  <c r="G24" i="8"/>
  <c r="G22" i="8"/>
  <c r="G20" i="8"/>
  <c r="G18" i="8"/>
  <c r="G16" i="8"/>
  <c r="G161" i="8"/>
  <c r="G154" i="8"/>
  <c r="G152" i="8"/>
  <c r="G145" i="8"/>
  <c r="G138" i="8"/>
  <c r="G133" i="8"/>
  <c r="G120" i="8"/>
  <c r="G114" i="8"/>
  <c r="G113" i="8"/>
  <c r="C6" i="8"/>
  <c r="G6" i="8"/>
  <c r="C8" i="8"/>
  <c r="G8" i="8"/>
  <c r="C10" i="8"/>
  <c r="G10" i="8"/>
  <c r="C12" i="8"/>
  <c r="G12" i="8"/>
  <c r="C14" i="8"/>
  <c r="G14" i="8"/>
  <c r="C19" i="8"/>
  <c r="G21" i="8"/>
  <c r="C27" i="8"/>
  <c r="G29" i="8"/>
  <c r="C35" i="8"/>
  <c r="G37" i="8"/>
  <c r="C43" i="8"/>
  <c r="G45" i="8"/>
  <c r="C51" i="8"/>
  <c r="G53" i="8"/>
  <c r="C59" i="8"/>
  <c r="G61" i="8"/>
  <c r="C67" i="8"/>
  <c r="G69" i="8"/>
  <c r="C75" i="8"/>
  <c r="G77" i="8"/>
  <c r="C83" i="8"/>
  <c r="G85" i="8"/>
  <c r="G86" i="8"/>
  <c r="C88" i="8"/>
  <c r="G91" i="8"/>
  <c r="G92" i="8"/>
  <c r="G98" i="8"/>
  <c r="C101" i="8"/>
  <c r="G108" i="8"/>
  <c r="C111" i="8"/>
  <c r="G115" i="8"/>
  <c r="C118" i="8"/>
  <c r="G122" i="8"/>
  <c r="C137" i="8"/>
  <c r="C140" i="8"/>
  <c r="C147" i="8"/>
  <c r="G150" i="8"/>
  <c r="C154" i="8"/>
  <c r="G157" i="8"/>
  <c r="G21" i="2"/>
  <c r="F21" i="2"/>
  <c r="E21" i="2"/>
  <c r="D21" i="2"/>
  <c r="C21" i="2"/>
  <c r="B21" i="2"/>
  <c r="F2" i="8" l="1"/>
  <c r="F63" i="3" s="1"/>
  <c r="C2" i="8" l="1"/>
  <c r="C63" i="3" s="1"/>
  <c r="G2" i="8" l="1"/>
  <c r="G63" i="3" s="1"/>
  <c r="E2" i="8" l="1"/>
  <c r="E63" i="3" s="1"/>
  <c r="D2" i="8"/>
  <c r="B2" i="8"/>
  <c r="B63" i="3" s="1"/>
  <c r="G4" i="3" l="1"/>
  <c r="G5" i="3"/>
  <c r="G10" i="3"/>
  <c r="G12" i="3"/>
  <c r="G6" i="3"/>
  <c r="G9" i="3"/>
  <c r="G13" i="3"/>
  <c r="G7" i="3"/>
  <c r="G14" i="3"/>
  <c r="G3" i="3"/>
  <c r="G8" i="3"/>
  <c r="G15" i="3"/>
  <c r="G18" i="3" s="1"/>
  <c r="G11" i="3"/>
  <c r="C9" i="3"/>
  <c r="C3" i="3"/>
  <c r="C12" i="3"/>
  <c r="C7" i="3"/>
  <c r="C10" i="3"/>
  <c r="C4" i="3"/>
  <c r="C6" i="3"/>
  <c r="C14" i="3"/>
  <c r="C11" i="3"/>
  <c r="C8" i="3"/>
  <c r="C13" i="3"/>
  <c r="C15" i="3"/>
  <c r="C16" i="3" s="1"/>
  <c r="C5" i="3"/>
  <c r="F5" i="3"/>
  <c r="F3" i="3"/>
  <c r="F4" i="3"/>
  <c r="F14" i="3"/>
  <c r="F15" i="3"/>
  <c r="F18" i="3" s="1"/>
  <c r="F6" i="3"/>
  <c r="D5" i="3"/>
  <c r="D12" i="3"/>
  <c r="D7" i="3"/>
  <c r="D4" i="3"/>
  <c r="D8" i="3"/>
  <c r="D14" i="3"/>
  <c r="D11" i="3"/>
  <c r="D13" i="3"/>
  <c r="D9" i="3"/>
  <c r="D10" i="3"/>
  <c r="D3" i="3"/>
  <c r="D6" i="3"/>
  <c r="D15" i="3"/>
  <c r="D17" i="3" s="1"/>
  <c r="E9" i="3"/>
  <c r="E5" i="3"/>
  <c r="E4" i="3"/>
  <c r="E6" i="3"/>
  <c r="E8" i="3"/>
  <c r="E12" i="3"/>
  <c r="E11" i="3"/>
  <c r="E10" i="3"/>
  <c r="E7" i="3"/>
  <c r="E3" i="3"/>
  <c r="E14" i="3"/>
  <c r="E13" i="3"/>
  <c r="B4" i="3"/>
  <c r="B3" i="3"/>
  <c r="B14" i="3"/>
  <c r="B11" i="3"/>
  <c r="B12" i="3"/>
  <c r="B5" i="3"/>
  <c r="B6" i="3"/>
  <c r="B8" i="3"/>
  <c r="B7" i="3"/>
  <c r="B13" i="3"/>
  <c r="B10" i="3"/>
  <c r="B9" i="3"/>
  <c r="B15" i="3"/>
  <c r="B17" i="3" s="1"/>
  <c r="E15" i="3"/>
  <c r="E18" i="3" s="1"/>
  <c r="C17" i="3" l="1"/>
  <c r="G17" i="3"/>
  <c r="E17" i="3"/>
  <c r="D16" i="3"/>
  <c r="B18" i="3"/>
  <c r="E16" i="3"/>
  <c r="C18" i="3"/>
  <c r="B16" i="3"/>
  <c r="F17" i="3"/>
  <c r="G16" i="3"/>
  <c r="D18" i="3"/>
  <c r="F16" i="3"/>
  <c r="C42" i="3" l="1"/>
  <c r="F40" i="3"/>
  <c r="F41" i="3"/>
  <c r="D41" i="3"/>
  <c r="D42" i="3"/>
  <c r="D40" i="3"/>
  <c r="C41" i="3"/>
  <c r="B40" i="3"/>
  <c r="G42" i="3"/>
  <c r="G41" i="3"/>
  <c r="E41" i="3"/>
  <c r="E42" i="3"/>
  <c r="E40" i="3"/>
  <c r="C40" i="3"/>
  <c r="F42" i="3"/>
  <c r="G40" i="3"/>
</calcChain>
</file>

<file path=xl/sharedStrings.xml><?xml version="1.0" encoding="utf-8"?>
<sst xmlns="http://schemas.openxmlformats.org/spreadsheetml/2006/main" count="128" uniqueCount="82">
  <si>
    <t>Ethiopia</t>
  </si>
  <si>
    <t>Ghana</t>
  </si>
  <si>
    <t>Honduras</t>
  </si>
  <si>
    <t>India</t>
  </si>
  <si>
    <t>Pakistan</t>
  </si>
  <si>
    <t>Peru</t>
  </si>
  <si>
    <t xml:space="preserve">    Total Direct Costs</t>
  </si>
  <si>
    <t xml:space="preserve">        Direct Transfer Costs</t>
  </si>
  <si>
    <t xml:space="preserve">            Asset Cost</t>
  </si>
  <si>
    <t xml:space="preserve">            Food stipend</t>
  </si>
  <si>
    <t xml:space="preserve">        Total Supervision Costs</t>
  </si>
  <si>
    <t>-</t>
  </si>
  <si>
    <t xml:space="preserve">            Salaries of Implementing Organization Staff</t>
  </si>
  <si>
    <t xml:space="preserve">            Materials</t>
  </si>
  <si>
    <t xml:space="preserve">            Training</t>
  </si>
  <si>
    <t xml:space="preserve">            Travel Costs</t>
  </si>
  <si>
    <t xml:space="preserve">            Other Expenses</t>
  </si>
  <si>
    <t xml:space="preserve">    Start-up expenses</t>
  </si>
  <si>
    <t xml:space="preserve">    Indirect Costs</t>
  </si>
  <si>
    <t>Total Program Costs</t>
  </si>
  <si>
    <t>Year of Baseline Survey</t>
  </si>
  <si>
    <t>Exchange rate, year of baseline survey</t>
  </si>
  <si>
    <t>PPP Exchange rate, year of baseline survey</t>
  </si>
  <si>
    <t>US CPI of Baseline Year</t>
  </si>
  <si>
    <t>US CPI of 2014 (as of January 15)</t>
  </si>
  <si>
    <t>Scalar from nominal to PPP terms</t>
  </si>
  <si>
    <t>Program Costs per Participant, USD at baseline year (nominal)</t>
  </si>
  <si>
    <t>Total Costs, calculated as if all spent immediately at beginning of year 0</t>
  </si>
  <si>
    <t>Total Costs, Inflated to Year 3 at 5% annual discount rate</t>
  </si>
  <si>
    <t>Total costs, inflated to year 3 at 7% annual discount rate</t>
  </si>
  <si>
    <t>Total costs, inflated to year 3 at 10% annual discount rate</t>
  </si>
  <si>
    <t>Notes: 2014 USD PPP costs = Nominal costs in baseline year * (US 2014 CPI/US CPI in baseline year)</t>
  </si>
  <si>
    <t>Panel B: Benefits per Household, USD PPP, All Values Inflated or Deflated to Year 3 at 5% annual social discount rate</t>
  </si>
  <si>
    <t>Household Size, Year 2</t>
  </si>
  <si>
    <t>Total Benefits</t>
  </si>
  <si>
    <t>Total benefits, assuming 7% discount rate: (3-7) + (4-7) + (5) + (6) + (7-7)</t>
  </si>
  <si>
    <t>Total benefits, assuming 10% discount rate: (3-10) + (4-10) + (5) + (6) + (7-10)</t>
  </si>
  <si>
    <t>Year 2 Annual Consumption ITT Treatment Effect, pre-NPV conversion</t>
  </si>
  <si>
    <t>Monthly Non-durable Consumption ITT per capita, Year 2 (from tables)</t>
  </si>
  <si>
    <t>Year 3 Productive Asset ITT Treatment Effect</t>
  </si>
  <si>
    <t>Year 2 Annual Non-durable Consumption ITT Treatment Effect</t>
  </si>
  <si>
    <t>Year 1 Annual Non-durable Consumption ITT, assuming treatment effect equal to Year 2</t>
  </si>
  <si>
    <t>Year 1 Annual Non-durable Consumption ITT Treatment Effect, using 7% discount rate</t>
  </si>
  <si>
    <t>Year 1 Annual Non-durable consumption ITT, Treatment Effect, using 10% discount rate</t>
  </si>
  <si>
    <t>Year 2 Annual consumption ITT, using 7% discount rate</t>
  </si>
  <si>
    <t>Year 2 annual Consumption ITT, using 10% discount rate</t>
  </si>
  <si>
    <t>Year 3 Household Asset ITT Treatment Effect</t>
  </si>
  <si>
    <t>Monthly Non-Durable Consumption ITT per capita, Year 3 (from tables)</t>
  </si>
  <si>
    <t>Monthly Total Consumption ITT per capita, Year 3 (from tables)</t>
  </si>
  <si>
    <t>Household Size, Year 3</t>
  </si>
  <si>
    <t>Year 3 Non-durable Annual Consumption ITT Treatment Effect</t>
  </si>
  <si>
    <t>Year 3 Total Consumption ITT Treatment Effect</t>
  </si>
  <si>
    <t xml:space="preserve"> Year 4 Onward Total Consumption ITT Treatment Effect, assuming Year 3 gains persist in perpetuity</t>
  </si>
  <si>
    <t>Future Non-durable Consumption ITT Treatment Effect in perpetuity, assuming 7% discount</t>
  </si>
  <si>
    <t>Future Non-durable Consumption ITT Treatment Effect in perpetuity, assuming 10% discount</t>
  </si>
  <si>
    <t>Year 3 Savings Balance ITT Treatment Effect</t>
  </si>
  <si>
    <t>Sensitivity Analysis</t>
  </si>
  <si>
    <t>Internal Rate of Return (IRR)</t>
  </si>
  <si>
    <t xml:space="preserve">    Annual Rate of dissipation of the treatment effect such that Costs = Benefits</t>
  </si>
  <si>
    <t xml:space="preserve">    Benefit/Cost Ratio, at discount rate of 7%</t>
  </si>
  <si>
    <t xml:space="preserve">    Benefit/Cost Ratio, at discount rate of 10%</t>
  </si>
  <si>
    <t>Panel C: Benefit/Cost Ratios</t>
  </si>
  <si>
    <t>Total Benefits/Total Costs Ratio:</t>
  </si>
  <si>
    <t>Increase in Asset Value in Year 3 
(Household, Productive and Financial) / Cost of Asset Transfers</t>
  </si>
  <si>
    <t>ITT of Wealth, 10th percentile</t>
  </si>
  <si>
    <t>ITT of Wealth, 25th percentile</t>
  </si>
  <si>
    <t>ITT of Wealth, 50th percentile</t>
  </si>
  <si>
    <t>ITT of Wealth, 75th percentile</t>
  </si>
  <si>
    <t>ITT of Wealth, 90th percentile</t>
  </si>
  <si>
    <t xml:space="preserve">    Static benefits (i.e. consumption year 1 + consumption year 2 + consumption year 3 + household assets)</t>
  </si>
  <si>
    <t xml:space="preserve">    Costs - static benefits</t>
  </si>
  <si>
    <t>Increase in Asset Value/Transfers, 10th percentile</t>
  </si>
  <si>
    <t>Increase in Asset Value/Transfers, 25th percentile</t>
  </si>
  <si>
    <t>Increase in Asset Value/Transfers, 50th percentile</t>
  </si>
  <si>
    <t>Increase in Asset Value/Transfers, 75th percentile</t>
  </si>
  <si>
    <t>Increase in Asset Value/Transfers, 90th percentile</t>
  </si>
  <si>
    <t>ITT Year 2: Nondurable consumption</t>
  </si>
  <si>
    <t>ITT Year 3: Nondurable consumption</t>
  </si>
  <si>
    <t>ITT Year 3: Household assets</t>
  </si>
  <si>
    <t>ITT Year 3+: Total consumption</t>
  </si>
  <si>
    <t>Cost</t>
  </si>
  <si>
    <t>Panel A. Program Costs per Participant, 2014 USD 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</si>
</sst>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37">
    <xf numFmtId="0" fontId="0" fillId="0" borderId="0" xfId="0"/>
    <xf numFmtId="0" fontId="3" fillId="0" borderId="0" xfId="1" applyFont="1" applyBorder="1"/>
    <xf numFmtId="1" fontId="3" fillId="0" borderId="0" xfId="1" applyNumberFormat="1" applyFont="1" applyBorder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3" fillId="0" borderId="0" xfId="1" applyFont="1" applyFill="1" applyBorder="1"/>
    <xf numFmtId="0" fontId="3" fillId="0" borderId="0" xfId="0" applyFont="1"/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0" fontId="3" fillId="0" borderId="0" xfId="1" applyFont="1"/>
    <xf numFmtId="0" fontId="6" fillId="0" borderId="0" xfId="1" applyFont="1" applyFill="1" applyBorder="1"/>
    <xf numFmtId="1" fontId="6" fillId="0" borderId="0" xfId="0" applyNumberFormat="1" applyFont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1" fontId="3" fillId="0" borderId="0" xfId="1" applyNumberFormat="1" applyFont="1"/>
    <xf numFmtId="2" fontId="3" fillId="0" borderId="0" xfId="3" applyNumberFormat="1" applyFont="1"/>
    <xf numFmtId="1" fontId="3" fillId="0" borderId="0" xfId="1" applyNumberFormat="1" applyFont="1" applyFill="1"/>
    <xf numFmtId="9" fontId="3" fillId="0" borderId="0" xfId="0" applyNumberFormat="1" applyFont="1"/>
    <xf numFmtId="0" fontId="3" fillId="0" borderId="3" xfId="1" applyFont="1" applyFill="1" applyBorder="1"/>
    <xf numFmtId="0" fontId="3" fillId="0" borderId="0" xfId="1" applyFont="1" applyFill="1" applyAlignment="1">
      <alignment wrapText="1"/>
    </xf>
    <xf numFmtId="0" fontId="3" fillId="0" borderId="0" xfId="1" applyFont="1" applyFill="1" applyAlignment="1">
      <alignment horizontal="left" indent="2"/>
    </xf>
    <xf numFmtId="0" fontId="3" fillId="0" borderId="0" xfId="1" applyFont="1" applyFill="1"/>
    <xf numFmtId="0" fontId="3" fillId="0" borderId="2" xfId="1" applyFont="1" applyFill="1" applyBorder="1"/>
    <xf numFmtId="0" fontId="3" fillId="0" borderId="3" xfId="1" applyFont="1" applyBorder="1"/>
    <xf numFmtId="0" fontId="6" fillId="0" borderId="0" xfId="1" applyFont="1" applyFill="1"/>
    <xf numFmtId="1" fontId="6" fillId="0" borderId="0" xfId="1" applyNumberFormat="1" applyFont="1" applyFill="1"/>
    <xf numFmtId="0" fontId="3" fillId="0" borderId="0" xfId="1" applyFont="1" applyFill="1" applyBorder="1" applyAlignment="1">
      <alignment horizontal="left" indent="3"/>
    </xf>
    <xf numFmtId="9" fontId="3" fillId="0" borderId="2" xfId="0" applyNumberFormat="1" applyFont="1" applyBorder="1"/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1" applyFont="1" applyFill="1" applyBorder="1" applyAlignment="1">
      <alignment horizontal="left" indent="2"/>
    </xf>
    <xf numFmtId="2" fontId="3" fillId="0" borderId="0" xfId="1" applyNumberFormat="1" applyFont="1" applyBorder="1"/>
    <xf numFmtId="0" fontId="5" fillId="0" borderId="0" xfId="0" applyFont="1" applyBorder="1"/>
    <xf numFmtId="0" fontId="3" fillId="0" borderId="3" xfId="1" applyFont="1" applyBorder="1" applyAlignment="1">
      <alignment horizontal="center"/>
    </xf>
    <xf numFmtId="0" fontId="5" fillId="0" borderId="0" xfId="0" applyFont="1" applyBorder="1" applyAlignment="1">
      <alignment horizontal="left" indent="3"/>
    </xf>
    <xf numFmtId="9" fontId="3" fillId="0" borderId="0" xfId="0" applyNumberFormat="1" applyFont="1" applyAlignment="1">
      <alignment horizontal="right"/>
    </xf>
    <xf numFmtId="164" fontId="3" fillId="0" borderId="0" xfId="3" applyNumberFormat="1" applyFont="1" applyFill="1" applyAlignment="1">
      <alignment horizontal="right"/>
    </xf>
  </cellXfs>
  <cellStyles count="6">
    <cellStyle name="Comma 2" xfId="2"/>
    <cellStyle name="Normal" xfId="0" builtinId="0"/>
    <cellStyle name="Normal 2" xfId="1"/>
    <cellStyle name="Normal 2 2" xfId="4"/>
    <cellStyle name="Normal 3" xf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>
      <selection activeCell="M37" sqref="M37"/>
    </sheetView>
  </sheetViews>
  <sheetFormatPr defaultRowHeight="12.75" x14ac:dyDescent="0.2"/>
  <cols>
    <col min="1" max="1" width="92.85546875" style="6" bestFit="1" customWidth="1"/>
    <col min="2" max="16384" width="9.140625" style="6"/>
  </cols>
  <sheetData>
    <row r="1" spans="1:7" x14ac:dyDescent="0.2">
      <c r="A1" s="3" t="s">
        <v>81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34" t="s">
        <v>31</v>
      </c>
    </row>
    <row r="3" spans="1:7" x14ac:dyDescent="0.2">
      <c r="A3" s="9" t="s">
        <v>6</v>
      </c>
      <c r="B3" s="7">
        <f>Nominal_cost_bsl_year!B3*(Nominal_cost_bsl_year!B$20/Nominal_cost_bsl_year!B$19)*B$19</f>
        <v>3127.4083720496474</v>
      </c>
      <c r="C3" s="7">
        <f>Nominal_cost_bsl_year!C3*(Nominal_cost_bsl_year!C$20/Nominal_cost_bsl_year!C$19)*C$19</f>
        <v>3512.6234231840635</v>
      </c>
      <c r="D3" s="7">
        <f>Nominal_cost_bsl_year!D3*(Nominal_cost_bsl_year!D$20/Nominal_cost_bsl_year!D$19)*D$19</f>
        <v>2356.3168839894265</v>
      </c>
      <c r="E3" s="7">
        <f>Nominal_cost_bsl_year!E3*(Nominal_cost_bsl_year!E$20/Nominal_cost_bsl_year!E$19)*E$19</f>
        <v>1106.6599002221838</v>
      </c>
      <c r="F3" s="7">
        <f>Nominal_cost_bsl_year!F3*(Nominal_cost_bsl_year!F$20/Nominal_cost_bsl_year!F$19)*F$19</f>
        <v>4679.7770093366726</v>
      </c>
      <c r="G3" s="7">
        <f>Nominal_cost_bsl_year!G3*(Nominal_cost_bsl_year!G$20/Nominal_cost_bsl_year!G$19)*G$19</f>
        <v>4452.2099782258083</v>
      </c>
    </row>
    <row r="4" spans="1:7" x14ac:dyDescent="0.2">
      <c r="A4" s="9" t="s">
        <v>7</v>
      </c>
      <c r="B4" s="7">
        <f>Nominal_cost_bsl_year!B4*(Nominal_cost_bsl_year!B$20/Nominal_cost_bsl_year!B$19)*B$19</f>
        <v>1227.8660040447887</v>
      </c>
      <c r="C4" s="7">
        <f>Nominal_cost_bsl_year!C4*(Nominal_cost_bsl_year!C$20/Nominal_cost_bsl_year!C$19)*C$19</f>
        <v>680.21343318067841</v>
      </c>
      <c r="D4" s="7">
        <f>Nominal_cost_bsl_year!D4*(Nominal_cost_bsl_year!D$20/Nominal_cost_bsl_year!D$19)*D$19</f>
        <v>723.75477319328195</v>
      </c>
      <c r="E4" s="7">
        <f>Nominal_cost_bsl_year!E4*(Nominal_cost_bsl_year!E$20/Nominal_cost_bsl_year!E$19)*E$19</f>
        <v>699.83225124977844</v>
      </c>
      <c r="F4" s="7">
        <f>Nominal_cost_bsl_year!F4*(Nominal_cost_bsl_year!F$20/Nominal_cost_bsl_year!F$19)*F$19</f>
        <v>2048.1466809310627</v>
      </c>
      <c r="G4" s="7">
        <f>Nominal_cost_bsl_year!G4*(Nominal_cost_bsl_year!G$20/Nominal_cost_bsl_year!G$19)*G$19</f>
        <v>1095.1213599933039</v>
      </c>
    </row>
    <row r="5" spans="1:7" x14ac:dyDescent="0.2">
      <c r="A5" s="9" t="s">
        <v>8</v>
      </c>
      <c r="B5" s="7">
        <f>Nominal_cost_bsl_year!B5*(Nominal_cost_bsl_year!B$20/Nominal_cost_bsl_year!B$19)*B$19</f>
        <v>1227.8660040447887</v>
      </c>
      <c r="C5" s="7">
        <f>Nominal_cost_bsl_year!C5*(Nominal_cost_bsl_year!C$20/Nominal_cost_bsl_year!C$19)*C$19</f>
        <v>451.38161266578317</v>
      </c>
      <c r="D5" s="7">
        <f>Nominal_cost_bsl_year!D5*(Nominal_cost_bsl_year!D$20/Nominal_cost_bsl_year!D$19)*D$19</f>
        <v>536.88621320811637</v>
      </c>
      <c r="E5" s="7">
        <f>Nominal_cost_bsl_year!E5*(Nominal_cost_bsl_year!E$20/Nominal_cost_bsl_year!E$19)*E$19</f>
        <v>437.3119037774299</v>
      </c>
      <c r="F5" s="7">
        <f>Nominal_cost_bsl_year!F5*(Nominal_cost_bsl_year!F$20/Nominal_cost_bsl_year!F$19)*F$19</f>
        <v>1043.3261863577873</v>
      </c>
      <c r="G5" s="7">
        <f>Nominal_cost_bsl_year!G5*(Nominal_cost_bsl_year!G$20/Nominal_cost_bsl_year!G$19)*G$19</f>
        <v>853.96521315148141</v>
      </c>
    </row>
    <row r="6" spans="1:7" x14ac:dyDescent="0.2">
      <c r="A6" s="9" t="s">
        <v>9</v>
      </c>
      <c r="B6" s="7">
        <f>Nominal_cost_bsl_year!B6*(Nominal_cost_bsl_year!B$20/Nominal_cost_bsl_year!B$19)*B$19</f>
        <v>0</v>
      </c>
      <c r="C6" s="7">
        <f>Nominal_cost_bsl_year!C6*(Nominal_cost_bsl_year!C$20/Nominal_cost_bsl_year!C$19)*C$19</f>
        <v>228.83182051489516</v>
      </c>
      <c r="D6" s="7">
        <f>Nominal_cost_bsl_year!D6*(Nominal_cost_bsl_year!D$20/Nominal_cost_bsl_year!D$19)*D$19</f>
        <v>186.86855998516555</v>
      </c>
      <c r="E6" s="7">
        <f>Nominal_cost_bsl_year!E6*(Nominal_cost_bsl_year!E$20/Nominal_cost_bsl_year!E$19)*E$19</f>
        <v>262.52034747234859</v>
      </c>
      <c r="F6" s="7">
        <f>Nominal_cost_bsl_year!F6*(Nominal_cost_bsl_year!F$20/Nominal_cost_bsl_year!F$19)*F$19</f>
        <v>910.94895983271113</v>
      </c>
      <c r="G6" s="7">
        <f>Nominal_cost_bsl_year!G6*(Nominal_cost_bsl_year!G$20/Nominal_cost_bsl_year!G$19)*G$19</f>
        <v>241.15614684182245</v>
      </c>
    </row>
    <row r="7" spans="1:7" x14ac:dyDescent="0.2">
      <c r="A7" s="9" t="s">
        <v>10</v>
      </c>
      <c r="B7" s="7">
        <f>Nominal_cost_bsl_year!B7*(Nominal_cost_bsl_year!B$20/Nominal_cost_bsl_year!B$19)*B$19</f>
        <v>1899.5423680048589</v>
      </c>
      <c r="C7" s="7">
        <f>Nominal_cost_bsl_year!C7*(Nominal_cost_bsl_year!C$20/Nominal_cost_bsl_year!C$19)*C$19</f>
        <v>2832.4099900033852</v>
      </c>
      <c r="D7" s="7">
        <f>Nominal_cost_bsl_year!D7*(Nominal_cost_bsl_year!D$20/Nominal_cost_bsl_year!D$19)*D$19</f>
        <v>1632.5621107961449</v>
      </c>
      <c r="E7" s="7">
        <f>Nominal_cost_bsl_year!E7*(Nominal_cost_bsl_year!E$20/Nominal_cost_bsl_year!E$19)*E$19</f>
        <v>406.8276489724052</v>
      </c>
      <c r="F7" s="8" t="s">
        <v>11</v>
      </c>
      <c r="G7" s="7">
        <f>Nominal_cost_bsl_year!G7*(Nominal_cost_bsl_year!G$20/Nominal_cost_bsl_year!G$19)*G$19</f>
        <v>3357.0886182325044</v>
      </c>
    </row>
    <row r="8" spans="1:7" x14ac:dyDescent="0.2">
      <c r="A8" s="9" t="s">
        <v>12</v>
      </c>
      <c r="B8" s="7">
        <f>Nominal_cost_bsl_year!B8*(Nominal_cost_bsl_year!B$20/Nominal_cost_bsl_year!B$19)*B$19</f>
        <v>346.86369871565637</v>
      </c>
      <c r="C8" s="7">
        <f>Nominal_cost_bsl_year!C8*(Nominal_cost_bsl_year!C$20/Nominal_cost_bsl_year!C$19)*C$19</f>
        <v>1994.2149483766711</v>
      </c>
      <c r="D8" s="7">
        <f>Nominal_cost_bsl_year!D8*(Nominal_cost_bsl_year!D$20/Nominal_cost_bsl_year!D$19)*D$19</f>
        <v>800.72944771527887</v>
      </c>
      <c r="E8" s="7">
        <f>Nominal_cost_bsl_year!E8*(Nominal_cost_bsl_year!E$20/Nominal_cost_bsl_year!E$19)*E$19</f>
        <v>296.94858228494968</v>
      </c>
      <c r="F8" s="8" t="s">
        <v>11</v>
      </c>
      <c r="G8" s="7">
        <f>Nominal_cost_bsl_year!G8*(Nominal_cost_bsl_year!G$20/Nominal_cost_bsl_year!G$19)*G$19</f>
        <v>2476.7608584771269</v>
      </c>
    </row>
    <row r="9" spans="1:7" x14ac:dyDescent="0.2">
      <c r="A9" s="9" t="s">
        <v>13</v>
      </c>
      <c r="B9" s="7">
        <f>Nominal_cost_bsl_year!B9*(Nominal_cost_bsl_year!B$20/Nominal_cost_bsl_year!B$19)*B$19</f>
        <v>33.20033750246634</v>
      </c>
      <c r="C9" s="7">
        <f>Nominal_cost_bsl_year!C9*(Nominal_cost_bsl_year!C$20/Nominal_cost_bsl_year!C$19)*C$19</f>
        <v>119.39449898461363</v>
      </c>
      <c r="D9" s="7">
        <f>Nominal_cost_bsl_year!D9*(Nominal_cost_bsl_year!D$20/Nominal_cost_bsl_year!D$19)*D$19</f>
        <v>112.25028300894277</v>
      </c>
      <c r="E9" s="7">
        <f>Nominal_cost_bsl_year!E9*(Nominal_cost_bsl_year!E$20/Nominal_cost_bsl_year!E$19)*E$19</f>
        <v>1.4968797744609179</v>
      </c>
      <c r="F9" s="8" t="s">
        <v>11</v>
      </c>
      <c r="G9" s="7">
        <f>Nominal_cost_bsl_year!G9*(Nominal_cost_bsl_year!G$20/Nominal_cost_bsl_year!G$19)*G$19</f>
        <v>55.019270752923646</v>
      </c>
    </row>
    <row r="10" spans="1:7" x14ac:dyDescent="0.2">
      <c r="A10" s="9" t="s">
        <v>14</v>
      </c>
      <c r="B10" s="7">
        <f>Nominal_cost_bsl_year!B10*(Nominal_cost_bsl_year!B$20/Nominal_cost_bsl_year!B$19)*B$19</f>
        <v>849.9040775446407</v>
      </c>
      <c r="C10" s="7">
        <f>Nominal_cost_bsl_year!C10*(Nominal_cost_bsl_year!C$20/Nominal_cost_bsl_year!C$19)*C$19</f>
        <v>43.799363403411597</v>
      </c>
      <c r="D10" s="7">
        <f>Nominal_cost_bsl_year!D10*(Nominal_cost_bsl_year!D$20/Nominal_cost_bsl_year!D$19)*D$19</f>
        <v>121.18295174311561</v>
      </c>
      <c r="E10" s="7">
        <f>Nominal_cost_bsl_year!E10*(Nominal_cost_bsl_year!E$20/Nominal_cost_bsl_year!E$19)*E$19</f>
        <v>18.569400445339493</v>
      </c>
      <c r="F10" s="8" t="s">
        <v>11</v>
      </c>
      <c r="G10" s="7">
        <f>Nominal_cost_bsl_year!G10*(Nominal_cost_bsl_year!G$20/Nominal_cost_bsl_year!G$19)*G$19</f>
        <v>110.77679443261674</v>
      </c>
    </row>
    <row r="11" spans="1:7" x14ac:dyDescent="0.2">
      <c r="A11" s="9" t="s">
        <v>15</v>
      </c>
      <c r="B11" s="7">
        <f>Nominal_cost_bsl_year!B11*(Nominal_cost_bsl_year!B$20/Nominal_cost_bsl_year!B$19)*B$19</f>
        <v>173.65700577738866</v>
      </c>
      <c r="C11" s="7">
        <f>Nominal_cost_bsl_year!C11*(Nominal_cost_bsl_year!C$20/Nominal_cost_bsl_year!C$19)*C$19</f>
        <v>293.09532163119775</v>
      </c>
      <c r="D11" s="7">
        <f>Nominal_cost_bsl_year!D11*(Nominal_cost_bsl_year!D$20/Nominal_cost_bsl_year!D$19)*D$19</f>
        <v>210.38407948416267</v>
      </c>
      <c r="E11" s="7">
        <f>Nominal_cost_bsl_year!E11*(Nominal_cost_bsl_year!E$20/Nominal_cost_bsl_year!E$19)*E$19</f>
        <v>16.70841477979349</v>
      </c>
      <c r="F11" s="8" t="s">
        <v>11</v>
      </c>
      <c r="G11" s="7">
        <f>Nominal_cost_bsl_year!G11*(Nominal_cost_bsl_year!G$20/Nominal_cost_bsl_year!G$19)*G$19</f>
        <v>54.844421375530878</v>
      </c>
    </row>
    <row r="12" spans="1:7" x14ac:dyDescent="0.2">
      <c r="A12" s="9" t="s">
        <v>16</v>
      </c>
      <c r="B12" s="7">
        <f>Nominal_cost_bsl_year!B12*(Nominal_cost_bsl_year!B$20/Nominal_cost_bsl_year!B$19)*B$19</f>
        <v>495.91724846470674</v>
      </c>
      <c r="C12" s="7">
        <f>Nominal_cost_bsl_year!C12*(Nominal_cost_bsl_year!C$20/Nominal_cost_bsl_year!C$19)*C$19</f>
        <v>381.90585760749104</v>
      </c>
      <c r="D12" s="7">
        <f>Nominal_cost_bsl_year!D12*(Nominal_cost_bsl_year!D$20/Nominal_cost_bsl_year!D$19)*D$19</f>
        <v>388.01534884464502</v>
      </c>
      <c r="E12" s="7">
        <f>Nominal_cost_bsl_year!E12*(Nominal_cost_bsl_year!E$20/Nominal_cost_bsl_year!E$19)*E$19</f>
        <v>73.104371687861587</v>
      </c>
      <c r="F12" s="8" t="s">
        <v>11</v>
      </c>
      <c r="G12" s="7">
        <f>Nominal_cost_bsl_year!G12*(Nominal_cost_bsl_year!G$20/Nominal_cost_bsl_year!G$19)*G$19</f>
        <v>659.68727319430627</v>
      </c>
    </row>
    <row r="13" spans="1:7" x14ac:dyDescent="0.2">
      <c r="A13" s="9" t="s">
        <v>17</v>
      </c>
      <c r="B13" s="7">
        <f>Nominal_cost_bsl_year!B13*(Nominal_cost_bsl_year!B$20/Nominal_cost_bsl_year!B$19)*B$19</f>
        <v>43.211838097469546</v>
      </c>
      <c r="C13" s="7">
        <f>Nominal_cost_bsl_year!C13*(Nominal_cost_bsl_year!C$20/Nominal_cost_bsl_year!C$19)*C$19</f>
        <v>133.10852560116297</v>
      </c>
      <c r="D13" s="7">
        <f>Nominal_cost_bsl_year!D13*(Nominal_cost_bsl_year!D$20/Nominal_cost_bsl_year!D$19)*D$19</f>
        <v>104.44448531281589</v>
      </c>
      <c r="E13" s="7">
        <f>Nominal_cost_bsl_year!E13*(Nominal_cost_bsl_year!E$20/Nominal_cost_bsl_year!E$19)*E$19</f>
        <v>38.27157477405482</v>
      </c>
      <c r="F13" s="8" t="s">
        <v>11</v>
      </c>
      <c r="G13" s="7">
        <f>Nominal_cost_bsl_year!G13*(Nominal_cost_bsl_year!G$20/Nominal_cost_bsl_year!G$19)*G$19</f>
        <v>45.460838122119107</v>
      </c>
    </row>
    <row r="14" spans="1:7" x14ac:dyDescent="0.2">
      <c r="A14" s="9" t="s">
        <v>18</v>
      </c>
      <c r="B14" s="7">
        <f>Nominal_cost_bsl_year!B14*(Nominal_cost_bsl_year!B$20/Nominal_cost_bsl_year!B$19)*B$19</f>
        <v>420.62403204076861</v>
      </c>
      <c r="C14" s="7">
        <f>Nominal_cost_bsl_year!C14*(Nominal_cost_bsl_year!C$20/Nominal_cost_bsl_year!C$19)*C$19</f>
        <v>1026.3223215351718</v>
      </c>
      <c r="D14" s="7">
        <f>Nominal_cost_bsl_year!D14*(Nominal_cost_bsl_year!D$20/Nominal_cost_bsl_year!D$19)*D$19</f>
        <v>208.88897062563177</v>
      </c>
      <c r="E14" s="7">
        <f>Nominal_cost_bsl_year!E14*(Nominal_cost_bsl_year!E$20/Nominal_cost_bsl_year!E$19)*E$19</f>
        <v>111.82096477324262</v>
      </c>
      <c r="F14" s="7">
        <f>Nominal_cost_bsl_year!F14*(Nominal_cost_bsl_year!F$20/Nominal_cost_bsl_year!F$19)*F$19</f>
        <v>470.35926684172665</v>
      </c>
      <c r="G14" s="7">
        <f>Nominal_cost_bsl_year!G14*(Nominal_cost_bsl_year!G$20/Nominal_cost_bsl_year!G$19)*G$19</f>
        <v>462.08804903188167</v>
      </c>
    </row>
    <row r="15" spans="1:7" x14ac:dyDescent="0.2">
      <c r="A15" s="1" t="s">
        <v>27</v>
      </c>
      <c r="B15" s="7">
        <f>Nominal_cost_bsl_year!B15*(Nominal_cost_bsl_year!B$20/Nominal_cost_bsl_year!B$19)*B$19</f>
        <v>3591.2442421878859</v>
      </c>
      <c r="C15" s="7">
        <f>Nominal_cost_bsl_year!C15*(Nominal_cost_bsl_year!C$20/Nominal_cost_bsl_year!C$19)*C$19</f>
        <v>4672.0542703203973</v>
      </c>
      <c r="D15" s="7">
        <f>Nominal_cost_bsl_year!D15*(Nominal_cost_bsl_year!D$20/Nominal_cost_bsl_year!D$19)*D$19</f>
        <v>2669.6503399278745</v>
      </c>
      <c r="E15" s="7">
        <f>Nominal_cost_bsl_year!E15*(Nominal_cost_bsl_year!E$20/Nominal_cost_bsl_year!E$19)*E$19</f>
        <v>1256.7524397694808</v>
      </c>
      <c r="F15" s="7">
        <f>Nominal_cost_bsl_year!F15*(Nominal_cost_bsl_year!F$20/Nominal_cost_bsl_year!F$19)*F$19</f>
        <v>5150.1362761783994</v>
      </c>
      <c r="G15" s="7">
        <f>Nominal_cost_bsl_year!G15*(Nominal_cost_bsl_year!G$20/Nominal_cost_bsl_year!G$19)*G$19</f>
        <v>4959.7588653798084</v>
      </c>
    </row>
    <row r="16" spans="1:7" x14ac:dyDescent="0.2">
      <c r="A16" s="10" t="s">
        <v>28</v>
      </c>
      <c r="B16" s="11">
        <f>B15*(1+0.05)^3</f>
        <v>4157.3141158627523</v>
      </c>
      <c r="C16" s="11">
        <f t="shared" ref="C16:G16" si="0">C15*(1+0.05)^3</f>
        <v>5408.4868246796505</v>
      </c>
      <c r="D16" s="11">
        <f t="shared" si="0"/>
        <v>3090.4539747590061</v>
      </c>
      <c r="E16" s="11">
        <f t="shared" si="0"/>
        <v>1454.8480430881455</v>
      </c>
      <c r="F16" s="11">
        <f t="shared" si="0"/>
        <v>5961.92650671102</v>
      </c>
      <c r="G16" s="11">
        <f t="shared" si="0"/>
        <v>5741.5408565353009</v>
      </c>
    </row>
    <row r="17" spans="1:7" x14ac:dyDescent="0.2">
      <c r="A17" s="26" t="s">
        <v>29</v>
      </c>
      <c r="B17" s="7">
        <f>B15*(1+0.07)^3</f>
        <v>4399.4286201825744</v>
      </c>
      <c r="C17" s="7">
        <f t="shared" ref="C17:G17" si="1">C15*(1+0.07)^3</f>
        <v>5723.4673794761111</v>
      </c>
      <c r="D17" s="7">
        <f t="shared" si="1"/>
        <v>3270.4364613762632</v>
      </c>
      <c r="E17" s="7">
        <f t="shared" si="1"/>
        <v>1539.5757790725243</v>
      </c>
      <c r="F17" s="7">
        <f t="shared" si="1"/>
        <v>6309.1383941784152</v>
      </c>
      <c r="G17" s="7">
        <f t="shared" si="1"/>
        <v>6075.9178797214772</v>
      </c>
    </row>
    <row r="18" spans="1:7" x14ac:dyDescent="0.2">
      <c r="A18" s="26" t="s">
        <v>30</v>
      </c>
      <c r="B18" s="7">
        <f>B15*(1+0.1)^3</f>
        <v>4779.9460863520771</v>
      </c>
      <c r="C18" s="7">
        <f t="shared" ref="C18:G18" si="2">C15*(1+0.1)^3</f>
        <v>6218.5042337964505</v>
      </c>
      <c r="D18" s="7">
        <f t="shared" si="2"/>
        <v>3553.3046024440018</v>
      </c>
      <c r="E18" s="7">
        <f t="shared" si="2"/>
        <v>1672.7374973331794</v>
      </c>
      <c r="F18" s="7">
        <f t="shared" si="2"/>
        <v>6854.8313835934514</v>
      </c>
      <c r="G18" s="7">
        <f t="shared" si="2"/>
        <v>6601.4390498205266</v>
      </c>
    </row>
    <row r="19" spans="1:7" s="29" customFormat="1" x14ac:dyDescent="0.2">
      <c r="A19" s="1" t="s">
        <v>25</v>
      </c>
      <c r="B19" s="28">
        <v>3.4084688995215315</v>
      </c>
      <c r="C19" s="28">
        <v>2.1882857142857146</v>
      </c>
      <c r="D19" s="28">
        <v>1.8991811668372569</v>
      </c>
      <c r="E19" s="28">
        <v>3.5153061224489801</v>
      </c>
      <c r="F19" s="28">
        <v>4.4398419721871045</v>
      </c>
      <c r="G19" s="28">
        <v>1.8388513513513511</v>
      </c>
    </row>
    <row r="20" spans="1:7" s="29" customFormat="1" x14ac:dyDescent="0.2">
      <c r="A20" s="32"/>
      <c r="B20" s="28"/>
      <c r="C20" s="28"/>
      <c r="D20" s="28"/>
      <c r="E20" s="28"/>
      <c r="F20" s="28"/>
      <c r="G20" s="28"/>
    </row>
    <row r="21" spans="1:7" s="29" customFormat="1" x14ac:dyDescent="0.2">
      <c r="A21" s="23" t="s">
        <v>32</v>
      </c>
      <c r="B21" s="33"/>
      <c r="C21" s="33"/>
      <c r="D21" s="33"/>
      <c r="E21" s="33"/>
      <c r="F21" s="33"/>
      <c r="G21" s="33"/>
    </row>
    <row r="22" spans="1:7" s="29" customFormat="1" x14ac:dyDescent="0.2">
      <c r="A22" s="30" t="s">
        <v>38</v>
      </c>
      <c r="B22" s="31">
        <v>6.4</v>
      </c>
      <c r="C22" s="31">
        <v>2.79</v>
      </c>
      <c r="D22" s="31">
        <v>0.89</v>
      </c>
      <c r="E22" s="31">
        <v>6.89</v>
      </c>
      <c r="F22" s="31">
        <v>7.74</v>
      </c>
      <c r="G22" s="31">
        <v>5.18</v>
      </c>
    </row>
    <row r="23" spans="1:7" x14ac:dyDescent="0.2">
      <c r="A23" s="20" t="s">
        <v>33</v>
      </c>
      <c r="B23" s="13">
        <v>5.59</v>
      </c>
      <c r="C23" s="13">
        <v>8.34</v>
      </c>
      <c r="D23" s="13">
        <v>5.88</v>
      </c>
      <c r="E23" s="13">
        <v>3.96</v>
      </c>
      <c r="F23" s="13">
        <v>6.29</v>
      </c>
      <c r="G23" s="13">
        <v>5.1950000000000003</v>
      </c>
    </row>
    <row r="24" spans="1:7" x14ac:dyDescent="0.2">
      <c r="A24" s="20" t="s">
        <v>37</v>
      </c>
      <c r="B24" s="16">
        <f>B22*B23*12</f>
        <v>429.31200000000001</v>
      </c>
      <c r="C24" s="16">
        <f t="shared" ref="C24:G24" si="3">C22*C23*12</f>
        <v>279.22320000000002</v>
      </c>
      <c r="D24" s="16">
        <f t="shared" si="3"/>
        <v>62.798400000000001</v>
      </c>
      <c r="E24" s="16">
        <f t="shared" si="3"/>
        <v>327.41279999999995</v>
      </c>
      <c r="F24" s="16">
        <f t="shared" si="3"/>
        <v>584.2152000000001</v>
      </c>
      <c r="G24" s="16">
        <f t="shared" si="3"/>
        <v>322.9212</v>
      </c>
    </row>
    <row r="25" spans="1:7" x14ac:dyDescent="0.2">
      <c r="A25" s="21" t="s">
        <v>41</v>
      </c>
      <c r="B25" s="16">
        <f>B$24*(1+0.05)</f>
        <v>450.77760000000001</v>
      </c>
      <c r="C25" s="16">
        <f t="shared" ref="C25:G25" si="4">C$24*(1+0.05)</f>
        <v>293.18436000000003</v>
      </c>
      <c r="D25" s="16">
        <f t="shared" si="4"/>
        <v>65.938320000000004</v>
      </c>
      <c r="E25" s="16">
        <f t="shared" si="4"/>
        <v>343.78343999999998</v>
      </c>
      <c r="F25" s="16">
        <f t="shared" si="4"/>
        <v>613.42596000000015</v>
      </c>
      <c r="G25" s="16">
        <f t="shared" si="4"/>
        <v>339.06726000000003</v>
      </c>
    </row>
    <row r="26" spans="1:7" x14ac:dyDescent="0.2">
      <c r="A26" s="20" t="s">
        <v>42</v>
      </c>
      <c r="B26" s="16">
        <f>B$24*(1+0.07)</f>
        <v>459.36384000000004</v>
      </c>
      <c r="C26" s="16">
        <f t="shared" ref="C26:G26" si="5">C$24*(1+0.07)</f>
        <v>298.76882400000005</v>
      </c>
      <c r="D26" s="16">
        <f t="shared" si="5"/>
        <v>67.194288</v>
      </c>
      <c r="E26" s="16">
        <f t="shared" si="5"/>
        <v>350.33169599999997</v>
      </c>
      <c r="F26" s="16">
        <f t="shared" si="5"/>
        <v>625.11026400000014</v>
      </c>
      <c r="G26" s="16">
        <f t="shared" si="5"/>
        <v>345.52568400000001</v>
      </c>
    </row>
    <row r="27" spans="1:7" x14ac:dyDescent="0.2">
      <c r="A27" s="20" t="s">
        <v>43</v>
      </c>
      <c r="B27" s="16">
        <f>B$24*(1+0.1)</f>
        <v>472.24320000000006</v>
      </c>
      <c r="C27" s="16">
        <f t="shared" ref="C27:G27" si="6">C$24*(1+0.1)</f>
        <v>307.14552000000003</v>
      </c>
      <c r="D27" s="16">
        <f t="shared" si="6"/>
        <v>69.078240000000008</v>
      </c>
      <c r="E27" s="16">
        <f t="shared" si="6"/>
        <v>360.15407999999996</v>
      </c>
      <c r="F27" s="16">
        <f t="shared" si="6"/>
        <v>642.6367200000002</v>
      </c>
      <c r="G27" s="16">
        <f t="shared" si="6"/>
        <v>355.21332000000001</v>
      </c>
    </row>
    <row r="28" spans="1:7" x14ac:dyDescent="0.2">
      <c r="A28" s="21" t="s">
        <v>40</v>
      </c>
      <c r="B28" s="16">
        <f>B$24*(1+0.05)</f>
        <v>450.77760000000001</v>
      </c>
      <c r="C28" s="16">
        <f t="shared" ref="C28:G28" si="7">C$24*(1+0.05)</f>
        <v>293.18436000000003</v>
      </c>
      <c r="D28" s="16">
        <f t="shared" si="7"/>
        <v>65.938320000000004</v>
      </c>
      <c r="E28" s="16">
        <f t="shared" si="7"/>
        <v>343.78343999999998</v>
      </c>
      <c r="F28" s="16">
        <f t="shared" si="7"/>
        <v>613.42596000000015</v>
      </c>
      <c r="G28" s="16">
        <f t="shared" si="7"/>
        <v>339.06726000000003</v>
      </c>
    </row>
    <row r="29" spans="1:7" x14ac:dyDescent="0.2">
      <c r="A29" s="20" t="s">
        <v>44</v>
      </c>
      <c r="B29" s="16">
        <f>B$24*(1+0.07)</f>
        <v>459.36384000000004</v>
      </c>
      <c r="C29" s="16">
        <f t="shared" ref="C29:G29" si="8">C$24*(1+0.07)</f>
        <v>298.76882400000005</v>
      </c>
      <c r="D29" s="16">
        <f t="shared" si="8"/>
        <v>67.194288</v>
      </c>
      <c r="E29" s="16">
        <f t="shared" si="8"/>
        <v>350.33169599999997</v>
      </c>
      <c r="F29" s="16">
        <f t="shared" si="8"/>
        <v>625.11026400000014</v>
      </c>
      <c r="G29" s="16">
        <f t="shared" si="8"/>
        <v>345.52568400000001</v>
      </c>
    </row>
    <row r="30" spans="1:7" x14ac:dyDescent="0.2">
      <c r="A30" s="20" t="s">
        <v>45</v>
      </c>
      <c r="B30" s="16">
        <f>B$24*(1+0.1)</f>
        <v>472.24320000000006</v>
      </c>
      <c r="C30" s="16">
        <f t="shared" ref="C30:G30" si="9">C$24*(1+0.1)</f>
        <v>307.14552000000003</v>
      </c>
      <c r="D30" s="16">
        <f t="shared" si="9"/>
        <v>69.078240000000008</v>
      </c>
      <c r="E30" s="16">
        <f t="shared" si="9"/>
        <v>360.15407999999996</v>
      </c>
      <c r="F30" s="16">
        <f t="shared" si="9"/>
        <v>642.6367200000002</v>
      </c>
      <c r="G30" s="16">
        <f t="shared" si="9"/>
        <v>355.21332000000001</v>
      </c>
    </row>
    <row r="31" spans="1:7" x14ac:dyDescent="0.2">
      <c r="A31" s="21" t="s">
        <v>46</v>
      </c>
      <c r="B31" s="14">
        <v>62.9</v>
      </c>
      <c r="C31" s="14">
        <v>15.186206896551726</v>
      </c>
      <c r="D31" s="14">
        <v>-19.899999999999999</v>
      </c>
      <c r="E31" s="14">
        <v>6.1551931385319216</v>
      </c>
      <c r="F31" s="14">
        <v>6.55</v>
      </c>
      <c r="G31" s="14">
        <v>37.1</v>
      </c>
    </row>
    <row r="32" spans="1:7" x14ac:dyDescent="0.2">
      <c r="A32" s="20" t="s">
        <v>47</v>
      </c>
      <c r="B32" s="9">
        <v>6.32</v>
      </c>
      <c r="C32" s="9">
        <v>3.26</v>
      </c>
      <c r="D32" s="12">
        <v>-3.08</v>
      </c>
      <c r="E32" s="12">
        <v>5.51</v>
      </c>
      <c r="F32" s="12">
        <v>5.71</v>
      </c>
      <c r="G32" s="12">
        <v>4.18</v>
      </c>
    </row>
    <row r="33" spans="1:7" x14ac:dyDescent="0.2">
      <c r="A33" s="20" t="s">
        <v>48</v>
      </c>
      <c r="B33" s="9">
        <v>7.37</v>
      </c>
      <c r="C33" s="9">
        <v>3.22</v>
      </c>
      <c r="D33" s="12">
        <v>-4.45</v>
      </c>
      <c r="E33" s="12">
        <v>6.18</v>
      </c>
      <c r="F33" s="12">
        <v>5.98</v>
      </c>
      <c r="G33" s="12">
        <v>6.18</v>
      </c>
    </row>
    <row r="34" spans="1:7" x14ac:dyDescent="0.2">
      <c r="A34" s="20" t="s">
        <v>49</v>
      </c>
      <c r="B34" s="9">
        <v>5.59</v>
      </c>
      <c r="C34" s="9">
        <v>8.48</v>
      </c>
      <c r="D34" s="12">
        <v>5.91</v>
      </c>
      <c r="E34" s="12">
        <v>3.79</v>
      </c>
      <c r="F34" s="12">
        <v>6.58</v>
      </c>
      <c r="G34" s="12">
        <v>5.24</v>
      </c>
    </row>
    <row r="35" spans="1:7" x14ac:dyDescent="0.2">
      <c r="A35" s="21" t="s">
        <v>50</v>
      </c>
      <c r="B35" s="16">
        <f>B32*B34*12</f>
        <v>423.94560000000001</v>
      </c>
      <c r="C35" s="16">
        <f t="shared" ref="C35:G35" si="10">C32*C34*12</f>
        <v>331.73759999999999</v>
      </c>
      <c r="D35" s="16">
        <f t="shared" si="10"/>
        <v>-218.43360000000001</v>
      </c>
      <c r="E35" s="16">
        <f t="shared" si="10"/>
        <v>250.59479999999999</v>
      </c>
      <c r="F35" s="16">
        <f t="shared" si="10"/>
        <v>450.86160000000007</v>
      </c>
      <c r="G35" s="16">
        <f t="shared" si="10"/>
        <v>262.83839999999998</v>
      </c>
    </row>
    <row r="36" spans="1:7" x14ac:dyDescent="0.2">
      <c r="A36" s="21" t="s">
        <v>51</v>
      </c>
      <c r="B36" s="16">
        <f>B33*B34*12</f>
        <v>494.37959999999998</v>
      </c>
      <c r="C36" s="16">
        <f t="shared" ref="C36:G36" si="11">C33*C34*12</f>
        <v>327.66720000000004</v>
      </c>
      <c r="D36" s="16">
        <f t="shared" si="11"/>
        <v>-315.59400000000005</v>
      </c>
      <c r="E36" s="16">
        <f t="shared" si="11"/>
        <v>281.06639999999999</v>
      </c>
      <c r="F36" s="16">
        <f t="shared" si="11"/>
        <v>472.18080000000009</v>
      </c>
      <c r="G36" s="16">
        <f t="shared" si="11"/>
        <v>388.59840000000003</v>
      </c>
    </row>
    <row r="37" spans="1:7" x14ac:dyDescent="0.2">
      <c r="A37" s="21" t="s">
        <v>52</v>
      </c>
      <c r="B37" s="16">
        <f>(B$36/(1+0.05))/0.05</f>
        <v>9416.7542857142835</v>
      </c>
      <c r="C37" s="16">
        <f t="shared" ref="C37:G37" si="12">(C$36/(1+0.05))/0.05</f>
        <v>6241.28</v>
      </c>
      <c r="D37" s="16">
        <f t="shared" si="12"/>
        <v>-6011.3142857142857</v>
      </c>
      <c r="E37" s="16">
        <f t="shared" si="12"/>
        <v>5353.6457142857134</v>
      </c>
      <c r="F37" s="16">
        <f t="shared" si="12"/>
        <v>8993.9200000000019</v>
      </c>
      <c r="G37" s="16">
        <f t="shared" si="12"/>
        <v>7401.8742857142852</v>
      </c>
    </row>
    <row r="38" spans="1:7" x14ac:dyDescent="0.2">
      <c r="A38" s="20" t="s">
        <v>53</v>
      </c>
      <c r="B38" s="16">
        <f>(B$36/(1+0.07))/0.07</f>
        <v>6600.5287049399185</v>
      </c>
      <c r="C38" s="16">
        <f t="shared" ref="C38:G38" si="13">(C$36/(1+0.07))/0.07</f>
        <v>4374.728971962616</v>
      </c>
      <c r="D38" s="16">
        <f t="shared" si="13"/>
        <v>-4213.5380507343125</v>
      </c>
      <c r="E38" s="16">
        <f t="shared" si="13"/>
        <v>3752.555407209612</v>
      </c>
      <c r="F38" s="16">
        <f t="shared" si="13"/>
        <v>6304.1495327102803</v>
      </c>
      <c r="G38" s="16">
        <f t="shared" si="13"/>
        <v>5188.2296395193589</v>
      </c>
    </row>
    <row r="39" spans="1:7" x14ac:dyDescent="0.2">
      <c r="A39" s="20" t="s">
        <v>54</v>
      </c>
      <c r="B39" s="16">
        <f>(B$36/(1+0.1))/0.1</f>
        <v>4494.3599999999988</v>
      </c>
      <c r="C39" s="16">
        <f t="shared" ref="C39:G39" si="14">(C$36/(1+0.1))/0.1</f>
        <v>2978.792727272727</v>
      </c>
      <c r="D39" s="16">
        <f t="shared" si="14"/>
        <v>-2869.0363636363636</v>
      </c>
      <c r="E39" s="16">
        <f t="shared" si="14"/>
        <v>2555.1490909090908</v>
      </c>
      <c r="F39" s="16">
        <f t="shared" si="14"/>
        <v>4292.5527272727277</v>
      </c>
      <c r="G39" s="16">
        <f t="shared" si="14"/>
        <v>3532.7127272727271</v>
      </c>
    </row>
    <row r="40" spans="1:7" x14ac:dyDescent="0.2">
      <c r="A40" s="24" t="s">
        <v>34</v>
      </c>
      <c r="B40" s="25">
        <f>B25+B28+B31+B35+B37</f>
        <v>10805.155085714283</v>
      </c>
      <c r="C40" s="25">
        <f t="shared" ref="C40:G40" si="15">C25+C28+C31+C35+C37</f>
        <v>7174.5725268965516</v>
      </c>
      <c r="D40" s="25">
        <f t="shared" si="15"/>
        <v>-6117.7712457142861</v>
      </c>
      <c r="E40" s="25">
        <f t="shared" si="15"/>
        <v>6297.9625874242456</v>
      </c>
      <c r="F40" s="25">
        <f t="shared" si="15"/>
        <v>10678.183520000002</v>
      </c>
      <c r="G40" s="25">
        <f t="shared" si="15"/>
        <v>8379.9472057142848</v>
      </c>
    </row>
    <row r="41" spans="1:7" x14ac:dyDescent="0.2">
      <c r="A41" s="20" t="s">
        <v>35</v>
      </c>
      <c r="B41" s="16">
        <f>B26+B29+B31+B35+B38</f>
        <v>8006.1019849399181</v>
      </c>
      <c r="C41" s="16">
        <f t="shared" ref="C41:G41" si="16">C26+C29+C31+C35+C38</f>
        <v>5319.1904268591679</v>
      </c>
      <c r="D41" s="16">
        <f t="shared" si="16"/>
        <v>-4317.4830747343121</v>
      </c>
      <c r="E41" s="16">
        <f t="shared" si="16"/>
        <v>4709.9687923481433</v>
      </c>
      <c r="F41" s="16">
        <f t="shared" si="16"/>
        <v>8011.7816607102804</v>
      </c>
      <c r="G41" s="16">
        <f t="shared" si="16"/>
        <v>6179.2194075193593</v>
      </c>
    </row>
    <row r="42" spans="1:7" x14ac:dyDescent="0.2">
      <c r="A42" s="20" t="s">
        <v>36</v>
      </c>
      <c r="B42" s="16">
        <f>B27+B30+B31+B35+B39</f>
        <v>5925.6919999999991</v>
      </c>
      <c r="C42" s="16">
        <f t="shared" ref="C42:G42" si="17">C27+C30+C31+C35+C39</f>
        <v>3940.007574169279</v>
      </c>
      <c r="D42" s="16">
        <f t="shared" si="17"/>
        <v>-2969.2134836363634</v>
      </c>
      <c r="E42" s="16">
        <f t="shared" si="17"/>
        <v>3532.2072440476227</v>
      </c>
      <c r="F42" s="16">
        <f t="shared" si="17"/>
        <v>6035.237767272728</v>
      </c>
      <c r="G42" s="16">
        <f t="shared" si="17"/>
        <v>4543.0777672727272</v>
      </c>
    </row>
    <row r="43" spans="1:7" x14ac:dyDescent="0.2">
      <c r="A43" s="21" t="s">
        <v>39</v>
      </c>
      <c r="B43" s="9">
        <v>851</v>
      </c>
      <c r="C43" s="14">
        <v>117.58965517241383</v>
      </c>
      <c r="D43" s="14">
        <v>32.299999999999997</v>
      </c>
      <c r="E43" s="14">
        <v>171.44853702594412</v>
      </c>
      <c r="F43" s="9">
        <v>163</v>
      </c>
      <c r="G43" s="14">
        <v>58.6</v>
      </c>
    </row>
    <row r="44" spans="1:7" x14ac:dyDescent="0.2">
      <c r="A44" s="21" t="s">
        <v>55</v>
      </c>
      <c r="B44" s="2">
        <v>272</v>
      </c>
      <c r="C44" s="2">
        <v>10.5</v>
      </c>
      <c r="D44" s="2">
        <v>31.7</v>
      </c>
      <c r="E44" s="2">
        <v>9.35</v>
      </c>
      <c r="F44" s="2">
        <v>6.55</v>
      </c>
      <c r="G44" s="2">
        <v>45.1</v>
      </c>
    </row>
    <row r="45" spans="1:7" x14ac:dyDescent="0.2">
      <c r="A45" s="18" t="s">
        <v>61</v>
      </c>
      <c r="B45" s="33"/>
      <c r="C45" s="33"/>
      <c r="D45" s="33"/>
      <c r="E45" s="33"/>
      <c r="F45" s="33"/>
      <c r="G45" s="33"/>
    </row>
    <row r="46" spans="1:7" x14ac:dyDescent="0.2">
      <c r="A46" s="5" t="s">
        <v>62</v>
      </c>
      <c r="B46" s="17">
        <f>B40/B16</f>
        <v>2.5990711273141143</v>
      </c>
      <c r="C46" s="17">
        <f t="shared" ref="C46:G46" si="18">C40/C16</f>
        <v>1.326539706847027</v>
      </c>
      <c r="D46" s="17">
        <f t="shared" si="18"/>
        <v>-1.9795704112342751</v>
      </c>
      <c r="E46" s="17">
        <f t="shared" si="18"/>
        <v>4.3289487292815974</v>
      </c>
      <c r="F46" s="17">
        <f t="shared" si="18"/>
        <v>1.79106258823891</v>
      </c>
      <c r="G46" s="17">
        <f t="shared" si="18"/>
        <v>1.4595293171476471</v>
      </c>
    </row>
    <row r="47" spans="1:7" ht="25.5" x14ac:dyDescent="0.2">
      <c r="A47" s="19" t="s">
        <v>63</v>
      </c>
      <c r="B47" s="17">
        <f>(B31+B43+B44)/B5</f>
        <v>0.96582200019664532</v>
      </c>
      <c r="C47" s="17">
        <f t="shared" ref="C47:G47" si="19">(C31+C43+C44)/C5</f>
        <v>0.3174162572170422</v>
      </c>
      <c r="D47" s="17">
        <f t="shared" si="19"/>
        <v>8.2140310023020191E-2</v>
      </c>
      <c r="E47" s="17">
        <f t="shared" si="19"/>
        <v>0.42750661152737846</v>
      </c>
      <c r="F47" s="17">
        <f t="shared" si="19"/>
        <v>0.16878709870664566</v>
      </c>
      <c r="G47" s="17">
        <f t="shared" si="19"/>
        <v>0.16487791051861508</v>
      </c>
    </row>
    <row r="48" spans="1:7" hidden="1" x14ac:dyDescent="0.2">
      <c r="A48" s="20" t="s">
        <v>64</v>
      </c>
      <c r="B48" s="15">
        <v>687.14</v>
      </c>
      <c r="C48" s="15">
        <v>24.11</v>
      </c>
      <c r="D48" s="15">
        <v>-15.74</v>
      </c>
      <c r="E48" s="15">
        <v>4.24</v>
      </c>
      <c r="F48" s="15">
        <v>18.95</v>
      </c>
      <c r="G48" s="15">
        <v>63.47</v>
      </c>
    </row>
    <row r="49" spans="1:7" hidden="1" x14ac:dyDescent="0.2">
      <c r="A49" s="20" t="s">
        <v>65</v>
      </c>
      <c r="B49" s="15">
        <v>885.04</v>
      </c>
      <c r="C49" s="15">
        <v>55.37</v>
      </c>
      <c r="D49" s="15">
        <v>44.51</v>
      </c>
      <c r="E49" s="15">
        <v>45.84</v>
      </c>
      <c r="F49" s="15">
        <v>75.81</v>
      </c>
      <c r="G49" s="15">
        <v>68.38</v>
      </c>
    </row>
    <row r="50" spans="1:7" hidden="1" x14ac:dyDescent="0.2">
      <c r="A50" s="20" t="s">
        <v>66</v>
      </c>
      <c r="B50" s="15">
        <v>1047.67</v>
      </c>
      <c r="C50" s="15">
        <v>89.85</v>
      </c>
      <c r="D50" s="15">
        <v>79.64</v>
      </c>
      <c r="E50" s="15">
        <v>99.61</v>
      </c>
      <c r="F50" s="15">
        <v>158.61000000000001</v>
      </c>
      <c r="G50" s="15">
        <v>56.4</v>
      </c>
    </row>
    <row r="51" spans="1:7" hidden="1" x14ac:dyDescent="0.2">
      <c r="A51" s="20" t="s">
        <v>67</v>
      </c>
      <c r="B51" s="15">
        <v>1510.34</v>
      </c>
      <c r="C51" s="15">
        <v>130.86000000000001</v>
      </c>
      <c r="D51" s="15">
        <v>108.15</v>
      </c>
      <c r="E51" s="15">
        <v>255.09</v>
      </c>
      <c r="F51" s="15">
        <v>470.01</v>
      </c>
      <c r="G51" s="15">
        <v>137.53</v>
      </c>
    </row>
    <row r="52" spans="1:7" hidden="1" x14ac:dyDescent="0.2">
      <c r="A52" s="20" t="s">
        <v>68</v>
      </c>
      <c r="B52" s="15">
        <v>2151.6799999999998</v>
      </c>
      <c r="C52" s="15">
        <v>166.07</v>
      </c>
      <c r="D52" s="15">
        <v>170.72</v>
      </c>
      <c r="E52" s="15">
        <v>571.5</v>
      </c>
      <c r="F52" s="15">
        <v>545.97</v>
      </c>
      <c r="G52" s="15">
        <v>57.72</v>
      </c>
    </row>
    <row r="53" spans="1:7" x14ac:dyDescent="0.2">
      <c r="A53" s="21" t="s">
        <v>71</v>
      </c>
      <c r="B53" s="17">
        <f>B48/B$5</f>
        <v>0.55962132491367134</v>
      </c>
      <c r="C53" s="17">
        <f t="shared" ref="C53:G53" si="20">C48/C$5</f>
        <v>5.3413784087505099E-2</v>
      </c>
      <c r="D53" s="17">
        <f t="shared" si="20"/>
        <v>-2.9317199087581357E-2</v>
      </c>
      <c r="E53" s="17">
        <f t="shared" si="20"/>
        <v>9.6955970404088293E-3</v>
      </c>
      <c r="F53" s="17">
        <f t="shared" si="20"/>
        <v>1.8163063716586797E-2</v>
      </c>
      <c r="G53" s="17">
        <f t="shared" si="20"/>
        <v>7.4323870600969455E-2</v>
      </c>
    </row>
    <row r="54" spans="1:7" x14ac:dyDescent="0.2">
      <c r="A54" s="21" t="s">
        <v>72</v>
      </c>
      <c r="B54" s="17">
        <f t="shared" ref="B54:G57" si="21">B49/B$5</f>
        <v>0.72079526355851165</v>
      </c>
      <c r="C54" s="17">
        <f t="shared" si="21"/>
        <v>0.12266782351410856</v>
      </c>
      <c r="D54" s="17">
        <f t="shared" si="21"/>
        <v>8.2903972769265963E-2</v>
      </c>
      <c r="E54" s="17">
        <f t="shared" si="21"/>
        <v>0.10482220951234451</v>
      </c>
      <c r="F54" s="17">
        <f t="shared" si="21"/>
        <v>7.2661839596540642E-2</v>
      </c>
      <c r="G54" s="17">
        <f t="shared" si="21"/>
        <v>8.007351932715126E-2</v>
      </c>
    </row>
    <row r="55" spans="1:7" x14ac:dyDescent="0.2">
      <c r="A55" s="21" t="s">
        <v>73</v>
      </c>
      <c r="B55" s="17">
        <f t="shared" si="21"/>
        <v>0.85324456947973648</v>
      </c>
      <c r="C55" s="17">
        <f t="shared" si="21"/>
        <v>0.19905551639412414</v>
      </c>
      <c r="D55" s="17">
        <f t="shared" si="21"/>
        <v>0.14833683197808001</v>
      </c>
      <c r="E55" s="17">
        <f t="shared" si="21"/>
        <v>0.22777792952715176</v>
      </c>
      <c r="F55" s="17">
        <f t="shared" si="21"/>
        <v>0.15202340559830249</v>
      </c>
      <c r="G55" s="17">
        <f t="shared" si="21"/>
        <v>6.6044844838422517E-2</v>
      </c>
    </row>
    <row r="56" spans="1:7" x14ac:dyDescent="0.2">
      <c r="A56" s="21" t="s">
        <v>74</v>
      </c>
      <c r="B56" s="17">
        <f t="shared" si="21"/>
        <v>1.2300527867248514</v>
      </c>
      <c r="C56" s="17">
        <f t="shared" si="21"/>
        <v>0.28990990401040723</v>
      </c>
      <c r="D56" s="17">
        <f t="shared" si="21"/>
        <v>0.20143933172312098</v>
      </c>
      <c r="E56" s="17">
        <f t="shared" si="21"/>
        <v>0.58331364364101135</v>
      </c>
      <c r="F56" s="17">
        <f t="shared" si="21"/>
        <v>0.45049190382231979</v>
      </c>
      <c r="G56" s="17">
        <f t="shared" si="21"/>
        <v>0.16104871472745122</v>
      </c>
    </row>
    <row r="57" spans="1:7" x14ac:dyDescent="0.2">
      <c r="A57" s="21" t="s">
        <v>75</v>
      </c>
      <c r="B57" s="17">
        <f t="shared" si="21"/>
        <v>1.7523736245746839</v>
      </c>
      <c r="C57" s="17">
        <f t="shared" si="21"/>
        <v>0.36791485372923982</v>
      </c>
      <c r="D57" s="17">
        <f t="shared" si="21"/>
        <v>0.31798171716848089</v>
      </c>
      <c r="E57" s="17">
        <f t="shared" si="21"/>
        <v>1.3068475727815203</v>
      </c>
      <c r="F57" s="17">
        <f t="shared" si="21"/>
        <v>0.5232975143717622</v>
      </c>
      <c r="G57" s="17">
        <f t="shared" si="21"/>
        <v>6.7590575249534532E-2</v>
      </c>
    </row>
    <row r="58" spans="1:7" x14ac:dyDescent="0.2">
      <c r="A58" s="21"/>
    </row>
    <row r="59" spans="1:7" x14ac:dyDescent="0.2">
      <c r="A59" s="21" t="s">
        <v>56</v>
      </c>
    </row>
    <row r="60" spans="1:7" x14ac:dyDescent="0.2">
      <c r="A60" s="21" t="s">
        <v>69</v>
      </c>
      <c r="B60" s="7">
        <f>B25+B28+B35+B31</f>
        <v>1388.4008000000001</v>
      </c>
      <c r="C60" s="7">
        <f t="shared" ref="C60:G60" si="22">C25+C28+C35+C31</f>
        <v>933.29252689655186</v>
      </c>
      <c r="D60" s="7">
        <f t="shared" si="22"/>
        <v>-106.45696000000001</v>
      </c>
      <c r="E60" s="7">
        <f t="shared" si="22"/>
        <v>944.31687313853183</v>
      </c>
      <c r="F60" s="7">
        <f t="shared" si="22"/>
        <v>1684.2635200000002</v>
      </c>
      <c r="G60" s="7">
        <f t="shared" si="22"/>
        <v>978.07292000000007</v>
      </c>
    </row>
    <row r="61" spans="1:7" x14ac:dyDescent="0.2">
      <c r="A61" s="21" t="s">
        <v>70</v>
      </c>
      <c r="B61" s="7">
        <f>B16-B60</f>
        <v>2768.9133158627519</v>
      </c>
      <c r="C61" s="7">
        <f t="shared" ref="C61:G61" si="23">C16-C60</f>
        <v>4475.1942977830986</v>
      </c>
      <c r="D61" s="7">
        <f t="shared" si="23"/>
        <v>3196.9109347590061</v>
      </c>
      <c r="E61" s="7">
        <f t="shared" si="23"/>
        <v>510.53116994961363</v>
      </c>
      <c r="F61" s="7">
        <f t="shared" si="23"/>
        <v>4277.6629867110196</v>
      </c>
      <c r="G61" s="7">
        <f t="shared" si="23"/>
        <v>4763.4679365353004</v>
      </c>
    </row>
    <row r="62" spans="1:7" x14ac:dyDescent="0.2">
      <c r="A62" s="21"/>
    </row>
    <row r="63" spans="1:7" x14ac:dyDescent="0.2">
      <c r="A63" s="5" t="s">
        <v>57</v>
      </c>
      <c r="B63" s="17">
        <f>IRR(IRR_Calculations!B2:B162)</f>
        <v>0.13345481418359939</v>
      </c>
      <c r="C63" s="17">
        <f>IRR(IRR_Calculations!C2:C162)</f>
        <v>6.9068309898005387E-2</v>
      </c>
      <c r="D63" s="35" t="s">
        <v>11</v>
      </c>
      <c r="E63" s="17">
        <f>IRR(IRR_Calculations!E2:E162)</f>
        <v>0.23389180900492468</v>
      </c>
      <c r="F63" s="17">
        <f>IRR(IRR_Calculations!F2:F162)</f>
        <v>9.508930737369603E-2</v>
      </c>
      <c r="G63" s="17">
        <f>IRR(IRR_Calculations!G2:G162)</f>
        <v>7.547169314388813E-2</v>
      </c>
    </row>
    <row r="64" spans="1:7" x14ac:dyDescent="0.2">
      <c r="A64" s="21" t="s">
        <v>58</v>
      </c>
      <c r="B64" s="36">
        <f>(B36-((1+0.05)*B61*(0.05)))/(B61*(1+0.05)+B36)</f>
        <v>0.10259802231696313</v>
      </c>
      <c r="C64" s="36">
        <f t="shared" ref="C64:G64" si="24">(C36-((1+0.05)*C61*(0.05)))/(C61*(1+0.05)+C36)</f>
        <v>1.8445690543110516E-2</v>
      </c>
      <c r="D64" s="36" t="s">
        <v>11</v>
      </c>
      <c r="E64" s="36">
        <f t="shared" si="24"/>
        <v>0.31116877439522073</v>
      </c>
      <c r="F64" s="36">
        <f t="shared" si="24"/>
        <v>4.9882577423744988E-2</v>
      </c>
      <c r="G64" s="36">
        <f t="shared" si="24"/>
        <v>2.5697620177182665E-2</v>
      </c>
    </row>
    <row r="65" spans="1:7" x14ac:dyDescent="0.2">
      <c r="A65" s="5" t="s">
        <v>59</v>
      </c>
      <c r="B65" s="17">
        <f>B41/B17</f>
        <v>1.8198049510819585</v>
      </c>
      <c r="C65" s="17">
        <f t="shared" ref="C65:G65" si="25">C41/C17</f>
        <v>0.92936502895663431</v>
      </c>
      <c r="D65" s="17">
        <f t="shared" si="25"/>
        <v>-1.3201550085817693</v>
      </c>
      <c r="E65" s="17">
        <f t="shared" si="25"/>
        <v>3.0592640234867403</v>
      </c>
      <c r="F65" s="17">
        <f t="shared" si="25"/>
        <v>1.2698693799620773</v>
      </c>
      <c r="G65" s="17">
        <f t="shared" si="25"/>
        <v>1.0170017978917478</v>
      </c>
    </row>
    <row r="66" spans="1:7" ht="13.5" thickBot="1" x14ac:dyDescent="0.25">
      <c r="A66" s="22" t="s">
        <v>60</v>
      </c>
      <c r="B66" s="27">
        <f>B42/B18</f>
        <v>1.2396985013950907</v>
      </c>
      <c r="C66" s="27">
        <f t="shared" ref="C66:G66" si="26">C42/C18</f>
        <v>0.63359409691418189</v>
      </c>
      <c r="D66" s="27">
        <f t="shared" si="26"/>
        <v>-0.83562030724697955</v>
      </c>
      <c r="E66" s="27">
        <f t="shared" si="26"/>
        <v>2.1116327275971085</v>
      </c>
      <c r="F66" s="27">
        <f t="shared" si="26"/>
        <v>0.88043562701157574</v>
      </c>
      <c r="G66" s="27">
        <f t="shared" si="26"/>
        <v>0.68819506368028038</v>
      </c>
    </row>
    <row r="67" spans="1:7" ht="13.5" thickTop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B21" sqref="B21"/>
    </sheetView>
  </sheetViews>
  <sheetFormatPr defaultRowHeight="12.75" x14ac:dyDescent="0.2"/>
  <cols>
    <col min="1" max="1" width="54.85546875" style="6" customWidth="1"/>
    <col min="2" max="16384" width="9.140625" style="6"/>
  </cols>
  <sheetData>
    <row r="1" spans="1:7" x14ac:dyDescent="0.2">
      <c r="A1" s="3" t="s">
        <v>26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3" spans="1:7" x14ac:dyDescent="0.2">
      <c r="A3" s="9" t="s">
        <v>6</v>
      </c>
      <c r="B3" s="7">
        <v>844.51601695747991</v>
      </c>
      <c r="C3" s="7">
        <v>1524.0770335552943</v>
      </c>
      <c r="D3" s="7">
        <v>1123.5285022904877</v>
      </c>
      <c r="E3" s="7">
        <v>275.46404208998547</v>
      </c>
      <c r="F3" s="7">
        <v>957.90473288789735</v>
      </c>
      <c r="G3" s="7">
        <v>2298.8379937534451</v>
      </c>
    </row>
    <row r="4" spans="1:7" x14ac:dyDescent="0.2">
      <c r="A4" s="9" t="s">
        <v>7</v>
      </c>
      <c r="B4" s="7">
        <v>331.56926877886491</v>
      </c>
      <c r="C4" s="7">
        <v>295.13487400443927</v>
      </c>
      <c r="D4" s="7">
        <v>345.09752142279712</v>
      </c>
      <c r="E4" s="7">
        <v>174.19861393323654</v>
      </c>
      <c r="F4" s="7">
        <v>419.23565917740035</v>
      </c>
      <c r="G4" s="7">
        <v>565.45100128605554</v>
      </c>
    </row>
    <row r="5" spans="1:7" x14ac:dyDescent="0.2">
      <c r="A5" s="9" t="s">
        <v>8</v>
      </c>
      <c r="B5" s="7">
        <v>331.56926877886491</v>
      </c>
      <c r="C5" s="7">
        <v>195.84802193497848</v>
      </c>
      <c r="D5" s="7">
        <v>255.99568849366744</v>
      </c>
      <c r="E5" s="7">
        <v>108.85341074020317</v>
      </c>
      <c r="F5" s="7">
        <v>213.55869945599483</v>
      </c>
      <c r="G5" s="7">
        <v>440.93330883703845</v>
      </c>
    </row>
    <row r="6" spans="1:7" x14ac:dyDescent="0.2">
      <c r="A6" s="9" t="s">
        <v>9</v>
      </c>
      <c r="B6" s="7">
        <v>0</v>
      </c>
      <c r="C6" s="7">
        <v>99.286852069460764</v>
      </c>
      <c r="D6" s="7">
        <v>89.101832929129614</v>
      </c>
      <c r="E6" s="7">
        <v>65.34520319303337</v>
      </c>
      <c r="F6" s="7">
        <v>186.46237166901818</v>
      </c>
      <c r="G6" s="7">
        <v>124.51769244901709</v>
      </c>
    </row>
    <row r="7" spans="1:7" x14ac:dyDescent="0.2">
      <c r="A7" s="9" t="s">
        <v>10</v>
      </c>
      <c r="B7" s="7">
        <v>512.94674817861505</v>
      </c>
      <c r="C7" s="7">
        <v>1228.9421595508552</v>
      </c>
      <c r="D7" s="7">
        <v>778.43098086769066</v>
      </c>
      <c r="E7" s="7">
        <v>101.2654281567489</v>
      </c>
      <c r="F7" s="8" t="s">
        <v>11</v>
      </c>
      <c r="G7" s="7">
        <v>1733.3869924673893</v>
      </c>
    </row>
    <row r="8" spans="1:7" x14ac:dyDescent="0.2">
      <c r="A8" s="9" t="s">
        <v>12</v>
      </c>
      <c r="B8" s="7">
        <v>93.666037312070983</v>
      </c>
      <c r="C8" s="7">
        <v>865.26132654393518</v>
      </c>
      <c r="D8" s="7">
        <v>381.80024225276208</v>
      </c>
      <c r="E8" s="7">
        <v>73.91490082244799</v>
      </c>
      <c r="F8" s="8" t="s">
        <v>11</v>
      </c>
      <c r="G8" s="7">
        <v>1278.84174168657</v>
      </c>
    </row>
    <row r="9" spans="1:7" x14ac:dyDescent="0.2">
      <c r="A9" s="9" t="s">
        <v>13</v>
      </c>
      <c r="B9" s="7">
        <v>8.9653199882083747</v>
      </c>
      <c r="C9" s="7">
        <v>51.80356443399922</v>
      </c>
      <c r="D9" s="7">
        <v>53.52267906224737</v>
      </c>
      <c r="E9" s="7">
        <v>0.37259554910498299</v>
      </c>
      <c r="F9" s="8" t="s">
        <v>11</v>
      </c>
      <c r="G9" s="7">
        <v>28.408451221752713</v>
      </c>
    </row>
    <row r="10" spans="1:7" x14ac:dyDescent="0.2">
      <c r="A10" s="9" t="s">
        <v>14</v>
      </c>
      <c r="B10" s="7">
        <v>229.50555890899392</v>
      </c>
      <c r="C10" s="7">
        <v>19.003916960438698</v>
      </c>
      <c r="D10" s="7">
        <v>57.781914308811643</v>
      </c>
      <c r="E10" s="7">
        <v>4.622198838896951</v>
      </c>
      <c r="F10" s="8" t="s">
        <v>11</v>
      </c>
      <c r="G10" s="7">
        <v>57.198089288995043</v>
      </c>
    </row>
    <row r="11" spans="1:7" x14ac:dyDescent="0.2">
      <c r="A11" s="9" t="s">
        <v>15</v>
      </c>
      <c r="B11" s="7">
        <v>46.893819223156513</v>
      </c>
      <c r="C11" s="7">
        <v>127.16986551769159</v>
      </c>
      <c r="D11" s="7">
        <v>100.31439800592833</v>
      </c>
      <c r="E11" s="7">
        <v>4.1589719400096756</v>
      </c>
      <c r="F11" s="8" t="s">
        <v>11</v>
      </c>
      <c r="G11" s="7">
        <v>28.318170126768329</v>
      </c>
    </row>
    <row r="12" spans="1:7" x14ac:dyDescent="0.2">
      <c r="A12" s="9" t="s">
        <v>16</v>
      </c>
      <c r="B12" s="7">
        <v>133.91601274618526</v>
      </c>
      <c r="C12" s="7">
        <v>165.70348609479041</v>
      </c>
      <c r="D12" s="7">
        <v>185.01174723794125</v>
      </c>
      <c r="E12" s="7">
        <v>18.196761006289307</v>
      </c>
      <c r="F12" s="8" t="s">
        <v>11</v>
      </c>
      <c r="G12" s="7">
        <v>340.62054014330334</v>
      </c>
    </row>
    <row r="13" spans="1:7" x14ac:dyDescent="0.2">
      <c r="A13" s="9" t="s">
        <v>17</v>
      </c>
      <c r="B13" s="7">
        <v>11.668795710094473</v>
      </c>
      <c r="C13" s="7">
        <v>57.753884319101701</v>
      </c>
      <c r="D13" s="7">
        <v>49.800753435731622</v>
      </c>
      <c r="E13" s="7">
        <v>9.5263618771165923</v>
      </c>
      <c r="F13" s="8" t="s">
        <v>11</v>
      </c>
      <c r="G13" s="7">
        <v>23.47308469593974</v>
      </c>
    </row>
    <row r="14" spans="1:7" x14ac:dyDescent="0.2">
      <c r="A14" s="9" t="s">
        <v>18</v>
      </c>
      <c r="B14" s="7">
        <v>113.58405744205962</v>
      </c>
      <c r="C14" s="7">
        <v>445.30656743700217</v>
      </c>
      <c r="D14" s="7">
        <v>99.601506871463243</v>
      </c>
      <c r="E14" s="7">
        <v>27.833894533139812</v>
      </c>
      <c r="F14" s="7">
        <v>96.277956613414617</v>
      </c>
      <c r="G14" s="7">
        <v>238.59287157817383</v>
      </c>
    </row>
    <row r="15" spans="1:7" x14ac:dyDescent="0.2">
      <c r="A15" s="1" t="s">
        <v>19</v>
      </c>
      <c r="B15" s="7">
        <v>969.76887010963412</v>
      </c>
      <c r="C15" s="7">
        <v>2027.137485311398</v>
      </c>
      <c r="D15" s="7">
        <v>1272.9307625976826</v>
      </c>
      <c r="E15" s="7">
        <v>312.82429850024181</v>
      </c>
      <c r="F15" s="7">
        <v>1054.1826895013119</v>
      </c>
      <c r="G15" s="7">
        <v>2560.9039500275585</v>
      </c>
    </row>
    <row r="16" spans="1:7" x14ac:dyDescent="0.2">
      <c r="A16" s="5" t="s">
        <v>20</v>
      </c>
      <c r="B16" s="2">
        <v>2010</v>
      </c>
      <c r="C16" s="2">
        <v>2011</v>
      </c>
      <c r="D16" s="2">
        <v>2009</v>
      </c>
      <c r="E16" s="2">
        <v>2007</v>
      </c>
      <c r="F16" s="2">
        <v>2008</v>
      </c>
      <c r="G16" s="2">
        <v>2011</v>
      </c>
    </row>
    <row r="17" spans="1:7" x14ac:dyDescent="0.2">
      <c r="A17" s="5" t="s">
        <v>21</v>
      </c>
      <c r="B17" s="7">
        <v>14.247400000000001</v>
      </c>
      <c r="C17" s="7">
        <v>1.5318000000000001</v>
      </c>
      <c r="D17" s="7">
        <v>18.555</v>
      </c>
      <c r="E17" s="7">
        <v>41.34</v>
      </c>
      <c r="F17" s="7">
        <v>70.238299999999995</v>
      </c>
      <c r="G17" s="7">
        <v>2.7214999999999998</v>
      </c>
    </row>
    <row r="18" spans="1:7" x14ac:dyDescent="0.2">
      <c r="A18" s="5" t="s">
        <v>22</v>
      </c>
      <c r="B18" s="7">
        <v>4.18</v>
      </c>
      <c r="C18" s="7">
        <v>0.7</v>
      </c>
      <c r="D18" s="7">
        <v>9.77</v>
      </c>
      <c r="E18" s="7">
        <v>11.76</v>
      </c>
      <c r="F18" s="7">
        <v>15.82</v>
      </c>
      <c r="G18" s="7">
        <v>1.48</v>
      </c>
    </row>
    <row r="19" spans="1:7" x14ac:dyDescent="0.2">
      <c r="A19" s="5" t="s">
        <v>23</v>
      </c>
      <c r="B19" s="7">
        <v>218.05600000000001</v>
      </c>
      <c r="C19" s="7">
        <v>224.93899999999999</v>
      </c>
      <c r="D19" s="7">
        <v>214.53700000000001</v>
      </c>
      <c r="E19" s="7">
        <v>207.3</v>
      </c>
      <c r="F19" s="7">
        <v>215.303</v>
      </c>
      <c r="G19" s="7">
        <v>224.93899999999999</v>
      </c>
    </row>
    <row r="20" spans="1:7" x14ac:dyDescent="0.2">
      <c r="A20" s="5" t="s">
        <v>24</v>
      </c>
      <c r="B20" s="7">
        <v>236.9111</v>
      </c>
      <c r="C20" s="7">
        <v>236.9111</v>
      </c>
      <c r="D20" s="7">
        <v>236.9111</v>
      </c>
      <c r="E20" s="7">
        <v>236.9111</v>
      </c>
      <c r="F20" s="7">
        <v>236.9111</v>
      </c>
      <c r="G20" s="7">
        <v>236.9111</v>
      </c>
    </row>
    <row r="21" spans="1:7" x14ac:dyDescent="0.2">
      <c r="A21" s="9" t="s">
        <v>25</v>
      </c>
      <c r="B21" s="6">
        <f t="shared" ref="B21:G21" si="0">B17/B18</f>
        <v>3.4084688995215315</v>
      </c>
      <c r="C21" s="6">
        <f t="shared" si="0"/>
        <v>2.1882857142857146</v>
      </c>
      <c r="D21" s="6">
        <f t="shared" si="0"/>
        <v>1.8991811668372569</v>
      </c>
      <c r="E21" s="6">
        <f t="shared" si="0"/>
        <v>3.5153061224489801</v>
      </c>
      <c r="F21" s="6">
        <f t="shared" si="0"/>
        <v>4.4398419721871045</v>
      </c>
      <c r="G21" s="6">
        <f t="shared" si="0"/>
        <v>1.8388513513513511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G6"/>
  <sheetViews>
    <sheetView workbookViewId="0">
      <selection activeCell="G15" sqref="G15"/>
    </sheetView>
  </sheetViews>
  <sheetFormatPr defaultRowHeight="12.75" x14ac:dyDescent="0.2"/>
  <cols>
    <col min="1" max="1" width="30.140625" style="9" bestFit="1" customWidth="1"/>
    <col min="2" max="16384" width="9.140625" style="9"/>
  </cols>
  <sheetData>
    <row r="1" spans="1:7" x14ac:dyDescent="0.2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x14ac:dyDescent="0.2">
      <c r="A2" s="9" t="s">
        <v>76</v>
      </c>
      <c r="B2" s="14">
        <f>Table4_Cost_Benefit_Analysis!B24</f>
        <v>429.31200000000001</v>
      </c>
      <c r="C2" s="14">
        <f>Table4_Cost_Benefit_Analysis!C24</f>
        <v>279.22320000000002</v>
      </c>
      <c r="D2" s="14">
        <f>Table4_Cost_Benefit_Analysis!D24</f>
        <v>62.798400000000001</v>
      </c>
      <c r="E2" s="14">
        <f>Table4_Cost_Benefit_Analysis!E24</f>
        <v>327.41279999999995</v>
      </c>
      <c r="F2" s="14">
        <f>Table4_Cost_Benefit_Analysis!F24</f>
        <v>584.2152000000001</v>
      </c>
      <c r="G2" s="14">
        <f>Table4_Cost_Benefit_Analysis!G24</f>
        <v>322.9212</v>
      </c>
    </row>
    <row r="3" spans="1:7" x14ac:dyDescent="0.2">
      <c r="A3" s="9" t="s">
        <v>77</v>
      </c>
      <c r="B3" s="14">
        <f>Table4_Cost_Benefit_Analysis!B35</f>
        <v>423.94560000000001</v>
      </c>
      <c r="C3" s="14">
        <f>Table4_Cost_Benefit_Analysis!C35</f>
        <v>331.73759999999999</v>
      </c>
      <c r="D3" s="14">
        <f>Table4_Cost_Benefit_Analysis!D35</f>
        <v>-218.43360000000001</v>
      </c>
      <c r="E3" s="14">
        <f>Table4_Cost_Benefit_Analysis!E35</f>
        <v>250.59479999999999</v>
      </c>
      <c r="F3" s="14">
        <f>Table4_Cost_Benefit_Analysis!F35</f>
        <v>450.86160000000007</v>
      </c>
      <c r="G3" s="14">
        <f>Table4_Cost_Benefit_Analysis!G35</f>
        <v>262.83839999999998</v>
      </c>
    </row>
    <row r="4" spans="1:7" x14ac:dyDescent="0.2">
      <c r="A4" s="9" t="s">
        <v>78</v>
      </c>
      <c r="B4" s="14">
        <f>Table4_Cost_Benefit_Analysis!B31</f>
        <v>62.9</v>
      </c>
      <c r="C4" s="14">
        <f>Table4_Cost_Benefit_Analysis!C31</f>
        <v>15.186206896551726</v>
      </c>
      <c r="D4" s="14">
        <f>Table4_Cost_Benefit_Analysis!D31</f>
        <v>-19.899999999999999</v>
      </c>
      <c r="E4" s="14">
        <f>Table4_Cost_Benefit_Analysis!E31</f>
        <v>6.1551931385319216</v>
      </c>
      <c r="F4" s="14">
        <f>Table4_Cost_Benefit_Analysis!F31</f>
        <v>6.55</v>
      </c>
      <c r="G4" s="14">
        <f>Table4_Cost_Benefit_Analysis!G31</f>
        <v>37.1</v>
      </c>
    </row>
    <row r="5" spans="1:7" x14ac:dyDescent="0.2">
      <c r="A5" s="9" t="s">
        <v>79</v>
      </c>
      <c r="B5" s="14">
        <f>Table4_Cost_Benefit_Analysis!B36</f>
        <v>494.37959999999998</v>
      </c>
      <c r="C5" s="14">
        <f>Table4_Cost_Benefit_Analysis!C36</f>
        <v>327.66720000000004</v>
      </c>
      <c r="D5" s="14">
        <f>Table4_Cost_Benefit_Analysis!D36</f>
        <v>-315.59400000000005</v>
      </c>
      <c r="E5" s="14">
        <f>Table4_Cost_Benefit_Analysis!E36</f>
        <v>281.06639999999999</v>
      </c>
      <c r="F5" s="14">
        <f>Table4_Cost_Benefit_Analysis!F36</f>
        <v>472.18080000000009</v>
      </c>
      <c r="G5" s="14">
        <f>Table4_Cost_Benefit_Analysis!G36</f>
        <v>388.59840000000003</v>
      </c>
    </row>
    <row r="6" spans="1:7" x14ac:dyDescent="0.2">
      <c r="A6" s="9" t="s">
        <v>80</v>
      </c>
      <c r="B6" s="14">
        <f>Table4_Cost_Benefit_Analysis!B15</f>
        <v>3591.2442421878859</v>
      </c>
      <c r="C6" s="14">
        <f>Table4_Cost_Benefit_Analysis!C15</f>
        <v>4672.0542703203973</v>
      </c>
      <c r="D6" s="14">
        <f>Table4_Cost_Benefit_Analysis!D15</f>
        <v>2669.6503399278745</v>
      </c>
      <c r="E6" s="14">
        <f>Table4_Cost_Benefit_Analysis!E15</f>
        <v>1256.7524397694808</v>
      </c>
      <c r="F6" s="14">
        <f>Table4_Cost_Benefit_Analysis!F15</f>
        <v>5150.1362761783994</v>
      </c>
      <c r="G6" s="14">
        <f>Table4_Cost_Benefit_Analysis!G15</f>
        <v>4959.7588653798084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G162"/>
  <sheetViews>
    <sheetView topLeftCell="A151" workbookViewId="0">
      <selection activeCell="H180" sqref="H180"/>
    </sheetView>
  </sheetViews>
  <sheetFormatPr defaultRowHeight="12.75" x14ac:dyDescent="0.2"/>
  <cols>
    <col min="1" max="16384" width="9.140625" style="9"/>
  </cols>
  <sheetData>
    <row r="1" spans="1:7" x14ac:dyDescent="0.2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x14ac:dyDescent="0.2">
      <c r="A2" s="9">
        <v>0</v>
      </c>
      <c r="B2" s="14">
        <f>-IRR_Inputs!B6</f>
        <v>-3591.2442421878859</v>
      </c>
      <c r="C2" s="14">
        <f>-IRR_Inputs!C6</f>
        <v>-4672.0542703203973</v>
      </c>
      <c r="D2" s="14">
        <f>-IRR_Inputs!D6</f>
        <v>-2669.6503399278745</v>
      </c>
      <c r="E2" s="14">
        <f>-IRR_Inputs!E6</f>
        <v>-1256.7524397694808</v>
      </c>
      <c r="F2" s="14">
        <f>-IRR_Inputs!F6</f>
        <v>-5150.1362761783994</v>
      </c>
      <c r="G2" s="14">
        <f>-IRR_Inputs!G6</f>
        <v>-4959.7588653798084</v>
      </c>
    </row>
    <row r="3" spans="1:7" x14ac:dyDescent="0.2">
      <c r="A3" s="9">
        <v>1</v>
      </c>
      <c r="B3" s="14">
        <f>IRR_Inputs!B2</f>
        <v>429.31200000000001</v>
      </c>
      <c r="C3" s="14">
        <f>IRR_Inputs!C2</f>
        <v>279.22320000000002</v>
      </c>
      <c r="D3" s="14">
        <f>IRR_Inputs!D2</f>
        <v>62.798400000000001</v>
      </c>
      <c r="E3" s="14">
        <f>IRR_Inputs!E2</f>
        <v>327.41279999999995</v>
      </c>
      <c r="F3" s="14">
        <f>IRR_Inputs!F2</f>
        <v>584.2152000000001</v>
      </c>
      <c r="G3" s="14">
        <f>IRR_Inputs!G2</f>
        <v>322.9212</v>
      </c>
    </row>
    <row r="4" spans="1:7" x14ac:dyDescent="0.2">
      <c r="A4" s="9">
        <v>2</v>
      </c>
      <c r="B4" s="14">
        <f>IRR_Inputs!B2</f>
        <v>429.31200000000001</v>
      </c>
      <c r="C4" s="14">
        <f>IRR_Inputs!C2</f>
        <v>279.22320000000002</v>
      </c>
      <c r="D4" s="14">
        <f>IRR_Inputs!D2</f>
        <v>62.798400000000001</v>
      </c>
      <c r="E4" s="14">
        <f>IRR_Inputs!E2</f>
        <v>327.41279999999995</v>
      </c>
      <c r="F4" s="14">
        <f>IRR_Inputs!F2</f>
        <v>584.2152000000001</v>
      </c>
      <c r="G4" s="14">
        <f>IRR_Inputs!G2</f>
        <v>322.9212</v>
      </c>
    </row>
    <row r="5" spans="1:7" x14ac:dyDescent="0.2">
      <c r="A5" s="9">
        <v>3</v>
      </c>
      <c r="B5" s="14">
        <f>IRR_Inputs!B3+IRR_Inputs!B4</f>
        <v>486.84559999999999</v>
      </c>
      <c r="C5" s="14">
        <f>IRR_Inputs!C3+IRR_Inputs!C4</f>
        <v>346.9238068965517</v>
      </c>
      <c r="D5" s="14">
        <f>IRR_Inputs!D3+IRR_Inputs!D4</f>
        <v>-238.33360000000002</v>
      </c>
      <c r="E5" s="14">
        <f>IRR_Inputs!E3+IRR_Inputs!E4</f>
        <v>256.74999313853192</v>
      </c>
      <c r="F5" s="14">
        <f>IRR_Inputs!F3+IRR_Inputs!F4</f>
        <v>457.41160000000008</v>
      </c>
      <c r="G5" s="14">
        <f>IRR_Inputs!G3+IRR_Inputs!G4</f>
        <v>299.9384</v>
      </c>
    </row>
    <row r="6" spans="1:7" x14ac:dyDescent="0.2">
      <c r="A6" s="9">
        <v>4</v>
      </c>
      <c r="B6" s="14">
        <f>IRR_Inputs!B$5</f>
        <v>494.37959999999998</v>
      </c>
      <c r="C6" s="14">
        <f>IRR_Inputs!C$5</f>
        <v>327.66720000000004</v>
      </c>
      <c r="D6" s="14">
        <f>IRR_Inputs!D$5</f>
        <v>-315.59400000000005</v>
      </c>
      <c r="E6" s="14">
        <f>IRR_Inputs!E$5</f>
        <v>281.06639999999999</v>
      </c>
      <c r="F6" s="14">
        <f>IRR_Inputs!F$5</f>
        <v>472.18080000000009</v>
      </c>
      <c r="G6" s="14">
        <f>IRR_Inputs!G$5</f>
        <v>388.59840000000003</v>
      </c>
    </row>
    <row r="7" spans="1:7" x14ac:dyDescent="0.2">
      <c r="A7" s="9">
        <v>5</v>
      </c>
      <c r="B7" s="14">
        <f>IRR_Inputs!B$5</f>
        <v>494.37959999999998</v>
      </c>
      <c r="C7" s="14">
        <f>IRR_Inputs!C$5</f>
        <v>327.66720000000004</v>
      </c>
      <c r="D7" s="14">
        <f>IRR_Inputs!D$5</f>
        <v>-315.59400000000005</v>
      </c>
      <c r="E7" s="14">
        <f>IRR_Inputs!E$5</f>
        <v>281.06639999999999</v>
      </c>
      <c r="F7" s="14">
        <f>IRR_Inputs!F$5</f>
        <v>472.18080000000009</v>
      </c>
      <c r="G7" s="14">
        <f>IRR_Inputs!G$5</f>
        <v>388.59840000000003</v>
      </c>
    </row>
    <row r="8" spans="1:7" x14ac:dyDescent="0.2">
      <c r="A8" s="9">
        <v>6</v>
      </c>
      <c r="B8" s="14">
        <f>IRR_Inputs!B$5</f>
        <v>494.37959999999998</v>
      </c>
      <c r="C8" s="14">
        <f>IRR_Inputs!C$5</f>
        <v>327.66720000000004</v>
      </c>
      <c r="D8" s="14">
        <f>IRR_Inputs!D$5</f>
        <v>-315.59400000000005</v>
      </c>
      <c r="E8" s="14">
        <f>IRR_Inputs!E$5</f>
        <v>281.06639999999999</v>
      </c>
      <c r="F8" s="14">
        <f>IRR_Inputs!F$5</f>
        <v>472.18080000000009</v>
      </c>
      <c r="G8" s="14">
        <f>IRR_Inputs!G$5</f>
        <v>388.59840000000003</v>
      </c>
    </row>
    <row r="9" spans="1:7" x14ac:dyDescent="0.2">
      <c r="A9" s="9">
        <v>7</v>
      </c>
      <c r="B9" s="14">
        <f>IRR_Inputs!B$5</f>
        <v>494.37959999999998</v>
      </c>
      <c r="C9" s="14">
        <f>IRR_Inputs!C$5</f>
        <v>327.66720000000004</v>
      </c>
      <c r="D9" s="14">
        <f>IRR_Inputs!D$5</f>
        <v>-315.59400000000005</v>
      </c>
      <c r="E9" s="14">
        <f>IRR_Inputs!E$5</f>
        <v>281.06639999999999</v>
      </c>
      <c r="F9" s="14">
        <f>IRR_Inputs!F$5</f>
        <v>472.18080000000009</v>
      </c>
      <c r="G9" s="14">
        <f>IRR_Inputs!G$5</f>
        <v>388.59840000000003</v>
      </c>
    </row>
    <row r="10" spans="1:7" x14ac:dyDescent="0.2">
      <c r="A10" s="9">
        <v>8</v>
      </c>
      <c r="B10" s="14">
        <f>IRR_Inputs!B$5</f>
        <v>494.37959999999998</v>
      </c>
      <c r="C10" s="14">
        <f>IRR_Inputs!C$5</f>
        <v>327.66720000000004</v>
      </c>
      <c r="D10" s="14">
        <f>IRR_Inputs!D$5</f>
        <v>-315.59400000000005</v>
      </c>
      <c r="E10" s="14">
        <f>IRR_Inputs!E$5</f>
        <v>281.06639999999999</v>
      </c>
      <c r="F10" s="14">
        <f>IRR_Inputs!F$5</f>
        <v>472.18080000000009</v>
      </c>
      <c r="G10" s="14">
        <f>IRR_Inputs!G$5</f>
        <v>388.59840000000003</v>
      </c>
    </row>
    <row r="11" spans="1:7" x14ac:dyDescent="0.2">
      <c r="A11" s="9">
        <v>9</v>
      </c>
      <c r="B11" s="14">
        <f>IRR_Inputs!B$5</f>
        <v>494.37959999999998</v>
      </c>
      <c r="C11" s="14">
        <f>IRR_Inputs!C$5</f>
        <v>327.66720000000004</v>
      </c>
      <c r="D11" s="14">
        <f>IRR_Inputs!D$5</f>
        <v>-315.59400000000005</v>
      </c>
      <c r="E11" s="14">
        <f>IRR_Inputs!E$5</f>
        <v>281.06639999999999</v>
      </c>
      <c r="F11" s="14">
        <f>IRR_Inputs!F$5</f>
        <v>472.18080000000009</v>
      </c>
      <c r="G11" s="14">
        <f>IRR_Inputs!G$5</f>
        <v>388.59840000000003</v>
      </c>
    </row>
    <row r="12" spans="1:7" x14ac:dyDescent="0.2">
      <c r="A12" s="9">
        <v>10</v>
      </c>
      <c r="B12" s="14">
        <f>IRR_Inputs!B$5</f>
        <v>494.37959999999998</v>
      </c>
      <c r="C12" s="14">
        <f>IRR_Inputs!C$5</f>
        <v>327.66720000000004</v>
      </c>
      <c r="D12" s="14">
        <f>IRR_Inputs!D$5</f>
        <v>-315.59400000000005</v>
      </c>
      <c r="E12" s="14">
        <f>IRR_Inputs!E$5</f>
        <v>281.06639999999999</v>
      </c>
      <c r="F12" s="14">
        <f>IRR_Inputs!F$5</f>
        <v>472.18080000000009</v>
      </c>
      <c r="G12" s="14">
        <f>IRR_Inputs!G$5</f>
        <v>388.59840000000003</v>
      </c>
    </row>
    <row r="13" spans="1:7" x14ac:dyDescent="0.2">
      <c r="A13" s="9">
        <v>11</v>
      </c>
      <c r="B13" s="14">
        <f>IRR_Inputs!B$5</f>
        <v>494.37959999999998</v>
      </c>
      <c r="C13" s="14">
        <f>IRR_Inputs!C$5</f>
        <v>327.66720000000004</v>
      </c>
      <c r="D13" s="14">
        <f>IRR_Inputs!D$5</f>
        <v>-315.59400000000005</v>
      </c>
      <c r="E13" s="14">
        <f>IRR_Inputs!E$5</f>
        <v>281.06639999999999</v>
      </c>
      <c r="F13" s="14">
        <f>IRR_Inputs!F$5</f>
        <v>472.18080000000009</v>
      </c>
      <c r="G13" s="14">
        <f>IRR_Inputs!G$5</f>
        <v>388.59840000000003</v>
      </c>
    </row>
    <row r="14" spans="1:7" x14ac:dyDescent="0.2">
      <c r="A14" s="9">
        <v>12</v>
      </c>
      <c r="B14" s="14">
        <f>IRR_Inputs!B$5</f>
        <v>494.37959999999998</v>
      </c>
      <c r="C14" s="14">
        <f>IRR_Inputs!C$5</f>
        <v>327.66720000000004</v>
      </c>
      <c r="D14" s="14">
        <f>IRR_Inputs!D$5</f>
        <v>-315.59400000000005</v>
      </c>
      <c r="E14" s="14">
        <f>IRR_Inputs!E$5</f>
        <v>281.06639999999999</v>
      </c>
      <c r="F14" s="14">
        <f>IRR_Inputs!F$5</f>
        <v>472.18080000000009</v>
      </c>
      <c r="G14" s="14">
        <f>IRR_Inputs!G$5</f>
        <v>388.59840000000003</v>
      </c>
    </row>
    <row r="15" spans="1:7" x14ac:dyDescent="0.2">
      <c r="A15" s="9">
        <v>13</v>
      </c>
      <c r="B15" s="14">
        <f>IRR_Inputs!B$5</f>
        <v>494.37959999999998</v>
      </c>
      <c r="C15" s="14">
        <f>IRR_Inputs!C$5</f>
        <v>327.66720000000004</v>
      </c>
      <c r="D15" s="14">
        <f>IRR_Inputs!D$5</f>
        <v>-315.59400000000005</v>
      </c>
      <c r="E15" s="14">
        <f>IRR_Inputs!E$5</f>
        <v>281.06639999999999</v>
      </c>
      <c r="F15" s="14">
        <f>IRR_Inputs!F$5</f>
        <v>472.18080000000009</v>
      </c>
      <c r="G15" s="14">
        <f>IRR_Inputs!G$5</f>
        <v>388.59840000000003</v>
      </c>
    </row>
    <row r="16" spans="1:7" x14ac:dyDescent="0.2">
      <c r="A16" s="9">
        <v>14</v>
      </c>
      <c r="B16" s="14">
        <f>IRR_Inputs!B$5</f>
        <v>494.37959999999998</v>
      </c>
      <c r="C16" s="14">
        <f>IRR_Inputs!C$5</f>
        <v>327.66720000000004</v>
      </c>
      <c r="D16" s="14">
        <f>IRR_Inputs!D$5</f>
        <v>-315.59400000000005</v>
      </c>
      <c r="E16" s="14">
        <f>IRR_Inputs!E$5</f>
        <v>281.06639999999999</v>
      </c>
      <c r="F16" s="14">
        <f>IRR_Inputs!F$5</f>
        <v>472.18080000000009</v>
      </c>
      <c r="G16" s="14">
        <f>IRR_Inputs!G$5</f>
        <v>388.59840000000003</v>
      </c>
    </row>
    <row r="17" spans="1:7" x14ac:dyDescent="0.2">
      <c r="A17" s="9">
        <v>15</v>
      </c>
      <c r="B17" s="14">
        <f>IRR_Inputs!B$5</f>
        <v>494.37959999999998</v>
      </c>
      <c r="C17" s="14">
        <f>IRR_Inputs!C$5</f>
        <v>327.66720000000004</v>
      </c>
      <c r="D17" s="14">
        <f>IRR_Inputs!D$5</f>
        <v>-315.59400000000005</v>
      </c>
      <c r="E17" s="14">
        <f>IRR_Inputs!E$5</f>
        <v>281.06639999999999</v>
      </c>
      <c r="F17" s="14">
        <f>IRR_Inputs!F$5</f>
        <v>472.18080000000009</v>
      </c>
      <c r="G17" s="14">
        <f>IRR_Inputs!G$5</f>
        <v>388.59840000000003</v>
      </c>
    </row>
    <row r="18" spans="1:7" x14ac:dyDescent="0.2">
      <c r="A18" s="9">
        <v>16</v>
      </c>
      <c r="B18" s="14">
        <f>IRR_Inputs!B$5</f>
        <v>494.37959999999998</v>
      </c>
      <c r="C18" s="14">
        <f>IRR_Inputs!C$5</f>
        <v>327.66720000000004</v>
      </c>
      <c r="D18" s="14">
        <f>IRR_Inputs!D$5</f>
        <v>-315.59400000000005</v>
      </c>
      <c r="E18" s="14">
        <f>IRR_Inputs!E$5</f>
        <v>281.06639999999999</v>
      </c>
      <c r="F18" s="14">
        <f>IRR_Inputs!F$5</f>
        <v>472.18080000000009</v>
      </c>
      <c r="G18" s="14">
        <f>IRR_Inputs!G$5</f>
        <v>388.59840000000003</v>
      </c>
    </row>
    <row r="19" spans="1:7" x14ac:dyDescent="0.2">
      <c r="A19" s="9">
        <v>17</v>
      </c>
      <c r="B19" s="14">
        <f>IRR_Inputs!B$5</f>
        <v>494.37959999999998</v>
      </c>
      <c r="C19" s="14">
        <f>IRR_Inputs!C$5</f>
        <v>327.66720000000004</v>
      </c>
      <c r="D19" s="14">
        <f>IRR_Inputs!D$5</f>
        <v>-315.59400000000005</v>
      </c>
      <c r="E19" s="14">
        <f>IRR_Inputs!E$5</f>
        <v>281.06639999999999</v>
      </c>
      <c r="F19" s="14">
        <f>IRR_Inputs!F$5</f>
        <v>472.18080000000009</v>
      </c>
      <c r="G19" s="14">
        <f>IRR_Inputs!G$5</f>
        <v>388.59840000000003</v>
      </c>
    </row>
    <row r="20" spans="1:7" x14ac:dyDescent="0.2">
      <c r="A20" s="9">
        <v>18</v>
      </c>
      <c r="B20" s="14">
        <f>IRR_Inputs!B$5</f>
        <v>494.37959999999998</v>
      </c>
      <c r="C20" s="14">
        <f>IRR_Inputs!C$5</f>
        <v>327.66720000000004</v>
      </c>
      <c r="D20" s="14">
        <f>IRR_Inputs!D$5</f>
        <v>-315.59400000000005</v>
      </c>
      <c r="E20" s="14">
        <f>IRR_Inputs!E$5</f>
        <v>281.06639999999999</v>
      </c>
      <c r="F20" s="14">
        <f>IRR_Inputs!F$5</f>
        <v>472.18080000000009</v>
      </c>
      <c r="G20" s="14">
        <f>IRR_Inputs!G$5</f>
        <v>388.59840000000003</v>
      </c>
    </row>
    <row r="21" spans="1:7" x14ac:dyDescent="0.2">
      <c r="A21" s="9">
        <v>19</v>
      </c>
      <c r="B21" s="14">
        <f>IRR_Inputs!B$5</f>
        <v>494.37959999999998</v>
      </c>
      <c r="C21" s="14">
        <f>IRR_Inputs!C$5</f>
        <v>327.66720000000004</v>
      </c>
      <c r="D21" s="14">
        <f>IRR_Inputs!D$5</f>
        <v>-315.59400000000005</v>
      </c>
      <c r="E21" s="14">
        <f>IRR_Inputs!E$5</f>
        <v>281.06639999999999</v>
      </c>
      <c r="F21" s="14">
        <f>IRR_Inputs!F$5</f>
        <v>472.18080000000009</v>
      </c>
      <c r="G21" s="14">
        <f>IRR_Inputs!G$5</f>
        <v>388.59840000000003</v>
      </c>
    </row>
    <row r="22" spans="1:7" x14ac:dyDescent="0.2">
      <c r="A22" s="9">
        <v>20</v>
      </c>
      <c r="B22" s="14">
        <f>IRR_Inputs!B$5</f>
        <v>494.37959999999998</v>
      </c>
      <c r="C22" s="14">
        <f>IRR_Inputs!C$5</f>
        <v>327.66720000000004</v>
      </c>
      <c r="D22" s="14">
        <f>IRR_Inputs!D$5</f>
        <v>-315.59400000000005</v>
      </c>
      <c r="E22" s="14">
        <f>IRR_Inputs!E$5</f>
        <v>281.06639999999999</v>
      </c>
      <c r="F22" s="14">
        <f>IRR_Inputs!F$5</f>
        <v>472.18080000000009</v>
      </c>
      <c r="G22" s="14">
        <f>IRR_Inputs!G$5</f>
        <v>388.59840000000003</v>
      </c>
    </row>
    <row r="23" spans="1:7" x14ac:dyDescent="0.2">
      <c r="A23" s="9">
        <v>21</v>
      </c>
      <c r="B23" s="14">
        <f>IRR_Inputs!B$5</f>
        <v>494.37959999999998</v>
      </c>
      <c r="C23" s="14">
        <f>IRR_Inputs!C$5</f>
        <v>327.66720000000004</v>
      </c>
      <c r="D23" s="14">
        <f>IRR_Inputs!D$5</f>
        <v>-315.59400000000005</v>
      </c>
      <c r="E23" s="14">
        <f>IRR_Inputs!E$5</f>
        <v>281.06639999999999</v>
      </c>
      <c r="F23" s="14">
        <f>IRR_Inputs!F$5</f>
        <v>472.18080000000009</v>
      </c>
      <c r="G23" s="14">
        <f>IRR_Inputs!G$5</f>
        <v>388.59840000000003</v>
      </c>
    </row>
    <row r="24" spans="1:7" x14ac:dyDescent="0.2">
      <c r="A24" s="9">
        <v>22</v>
      </c>
      <c r="B24" s="14">
        <f>IRR_Inputs!B$5</f>
        <v>494.37959999999998</v>
      </c>
      <c r="C24" s="14">
        <f>IRR_Inputs!C$5</f>
        <v>327.66720000000004</v>
      </c>
      <c r="D24" s="14">
        <f>IRR_Inputs!D$5</f>
        <v>-315.59400000000005</v>
      </c>
      <c r="E24" s="14">
        <f>IRR_Inputs!E$5</f>
        <v>281.06639999999999</v>
      </c>
      <c r="F24" s="14">
        <f>IRR_Inputs!F$5</f>
        <v>472.18080000000009</v>
      </c>
      <c r="G24" s="14">
        <f>IRR_Inputs!G$5</f>
        <v>388.59840000000003</v>
      </c>
    </row>
    <row r="25" spans="1:7" x14ac:dyDescent="0.2">
      <c r="A25" s="9">
        <v>23</v>
      </c>
      <c r="B25" s="14">
        <f>IRR_Inputs!B$5</f>
        <v>494.37959999999998</v>
      </c>
      <c r="C25" s="14">
        <f>IRR_Inputs!C$5</f>
        <v>327.66720000000004</v>
      </c>
      <c r="D25" s="14">
        <f>IRR_Inputs!D$5</f>
        <v>-315.59400000000005</v>
      </c>
      <c r="E25" s="14">
        <f>IRR_Inputs!E$5</f>
        <v>281.06639999999999</v>
      </c>
      <c r="F25" s="14">
        <f>IRR_Inputs!F$5</f>
        <v>472.18080000000009</v>
      </c>
      <c r="G25" s="14">
        <f>IRR_Inputs!G$5</f>
        <v>388.59840000000003</v>
      </c>
    </row>
    <row r="26" spans="1:7" x14ac:dyDescent="0.2">
      <c r="A26" s="9">
        <v>24</v>
      </c>
      <c r="B26" s="14">
        <f>IRR_Inputs!B$5</f>
        <v>494.37959999999998</v>
      </c>
      <c r="C26" s="14">
        <f>IRR_Inputs!C$5</f>
        <v>327.66720000000004</v>
      </c>
      <c r="D26" s="14">
        <f>IRR_Inputs!D$5</f>
        <v>-315.59400000000005</v>
      </c>
      <c r="E26" s="14">
        <f>IRR_Inputs!E$5</f>
        <v>281.06639999999999</v>
      </c>
      <c r="F26" s="14">
        <f>IRR_Inputs!F$5</f>
        <v>472.18080000000009</v>
      </c>
      <c r="G26" s="14">
        <f>IRR_Inputs!G$5</f>
        <v>388.59840000000003</v>
      </c>
    </row>
    <row r="27" spans="1:7" x14ac:dyDescent="0.2">
      <c r="A27" s="9">
        <v>25</v>
      </c>
      <c r="B27" s="14">
        <f>IRR_Inputs!B$5</f>
        <v>494.37959999999998</v>
      </c>
      <c r="C27" s="14">
        <f>IRR_Inputs!C$5</f>
        <v>327.66720000000004</v>
      </c>
      <c r="D27" s="14">
        <f>IRR_Inputs!D$5</f>
        <v>-315.59400000000005</v>
      </c>
      <c r="E27" s="14">
        <f>IRR_Inputs!E$5</f>
        <v>281.06639999999999</v>
      </c>
      <c r="F27" s="14">
        <f>IRR_Inputs!F$5</f>
        <v>472.18080000000009</v>
      </c>
      <c r="G27" s="14">
        <f>IRR_Inputs!G$5</f>
        <v>388.59840000000003</v>
      </c>
    </row>
    <row r="28" spans="1:7" x14ac:dyDescent="0.2">
      <c r="A28" s="9">
        <v>26</v>
      </c>
      <c r="B28" s="14">
        <f>IRR_Inputs!B$5</f>
        <v>494.37959999999998</v>
      </c>
      <c r="C28" s="14">
        <f>IRR_Inputs!C$5</f>
        <v>327.66720000000004</v>
      </c>
      <c r="D28" s="14">
        <f>IRR_Inputs!D$5</f>
        <v>-315.59400000000005</v>
      </c>
      <c r="E28" s="14">
        <f>IRR_Inputs!E$5</f>
        <v>281.06639999999999</v>
      </c>
      <c r="F28" s="14">
        <f>IRR_Inputs!F$5</f>
        <v>472.18080000000009</v>
      </c>
      <c r="G28" s="14">
        <f>IRR_Inputs!G$5</f>
        <v>388.59840000000003</v>
      </c>
    </row>
    <row r="29" spans="1:7" x14ac:dyDescent="0.2">
      <c r="A29" s="9">
        <v>27</v>
      </c>
      <c r="B29" s="14">
        <f>IRR_Inputs!B$5</f>
        <v>494.37959999999998</v>
      </c>
      <c r="C29" s="14">
        <f>IRR_Inputs!C$5</f>
        <v>327.66720000000004</v>
      </c>
      <c r="D29" s="14">
        <f>IRR_Inputs!D$5</f>
        <v>-315.59400000000005</v>
      </c>
      <c r="E29" s="14">
        <f>IRR_Inputs!E$5</f>
        <v>281.06639999999999</v>
      </c>
      <c r="F29" s="14">
        <f>IRR_Inputs!F$5</f>
        <v>472.18080000000009</v>
      </c>
      <c r="G29" s="14">
        <f>IRR_Inputs!G$5</f>
        <v>388.59840000000003</v>
      </c>
    </row>
    <row r="30" spans="1:7" x14ac:dyDescent="0.2">
      <c r="A30" s="9">
        <v>28</v>
      </c>
      <c r="B30" s="14">
        <f>IRR_Inputs!B$5</f>
        <v>494.37959999999998</v>
      </c>
      <c r="C30" s="14">
        <f>IRR_Inputs!C$5</f>
        <v>327.66720000000004</v>
      </c>
      <c r="D30" s="14">
        <f>IRR_Inputs!D$5</f>
        <v>-315.59400000000005</v>
      </c>
      <c r="E30" s="14">
        <f>IRR_Inputs!E$5</f>
        <v>281.06639999999999</v>
      </c>
      <c r="F30" s="14">
        <f>IRR_Inputs!F$5</f>
        <v>472.18080000000009</v>
      </c>
      <c r="G30" s="14">
        <f>IRR_Inputs!G$5</f>
        <v>388.59840000000003</v>
      </c>
    </row>
    <row r="31" spans="1:7" x14ac:dyDescent="0.2">
      <c r="A31" s="9">
        <v>29</v>
      </c>
      <c r="B31" s="14">
        <f>IRR_Inputs!B$5</f>
        <v>494.37959999999998</v>
      </c>
      <c r="C31" s="14">
        <f>IRR_Inputs!C$5</f>
        <v>327.66720000000004</v>
      </c>
      <c r="D31" s="14">
        <f>IRR_Inputs!D$5</f>
        <v>-315.59400000000005</v>
      </c>
      <c r="E31" s="14">
        <f>IRR_Inputs!E$5</f>
        <v>281.06639999999999</v>
      </c>
      <c r="F31" s="14">
        <f>IRR_Inputs!F$5</f>
        <v>472.18080000000009</v>
      </c>
      <c r="G31" s="14">
        <f>IRR_Inputs!G$5</f>
        <v>388.59840000000003</v>
      </c>
    </row>
    <row r="32" spans="1:7" x14ac:dyDescent="0.2">
      <c r="A32" s="9">
        <v>30</v>
      </c>
      <c r="B32" s="14">
        <f>IRR_Inputs!B$5</f>
        <v>494.37959999999998</v>
      </c>
      <c r="C32" s="14">
        <f>IRR_Inputs!C$5</f>
        <v>327.66720000000004</v>
      </c>
      <c r="D32" s="14">
        <f>IRR_Inputs!D$5</f>
        <v>-315.59400000000005</v>
      </c>
      <c r="E32" s="14">
        <f>IRR_Inputs!E$5</f>
        <v>281.06639999999999</v>
      </c>
      <c r="F32" s="14">
        <f>IRR_Inputs!F$5</f>
        <v>472.18080000000009</v>
      </c>
      <c r="G32" s="14">
        <f>IRR_Inputs!G$5</f>
        <v>388.59840000000003</v>
      </c>
    </row>
    <row r="33" spans="1:7" x14ac:dyDescent="0.2">
      <c r="A33" s="9">
        <v>31</v>
      </c>
      <c r="B33" s="14">
        <f>IRR_Inputs!B$5</f>
        <v>494.37959999999998</v>
      </c>
      <c r="C33" s="14">
        <f>IRR_Inputs!C$5</f>
        <v>327.66720000000004</v>
      </c>
      <c r="D33" s="14">
        <f>IRR_Inputs!D$5</f>
        <v>-315.59400000000005</v>
      </c>
      <c r="E33" s="14">
        <f>IRR_Inputs!E$5</f>
        <v>281.06639999999999</v>
      </c>
      <c r="F33" s="14">
        <f>IRR_Inputs!F$5</f>
        <v>472.18080000000009</v>
      </c>
      <c r="G33" s="14">
        <f>IRR_Inputs!G$5</f>
        <v>388.59840000000003</v>
      </c>
    </row>
    <row r="34" spans="1:7" x14ac:dyDescent="0.2">
      <c r="A34" s="9">
        <v>32</v>
      </c>
      <c r="B34" s="14">
        <f>IRR_Inputs!B$5</f>
        <v>494.37959999999998</v>
      </c>
      <c r="C34" s="14">
        <f>IRR_Inputs!C$5</f>
        <v>327.66720000000004</v>
      </c>
      <c r="D34" s="14">
        <f>IRR_Inputs!D$5</f>
        <v>-315.59400000000005</v>
      </c>
      <c r="E34" s="14">
        <f>IRR_Inputs!E$5</f>
        <v>281.06639999999999</v>
      </c>
      <c r="F34" s="14">
        <f>IRR_Inputs!F$5</f>
        <v>472.18080000000009</v>
      </c>
      <c r="G34" s="14">
        <f>IRR_Inputs!G$5</f>
        <v>388.59840000000003</v>
      </c>
    </row>
    <row r="35" spans="1:7" x14ac:dyDescent="0.2">
      <c r="A35" s="9">
        <v>33</v>
      </c>
      <c r="B35" s="14">
        <f>IRR_Inputs!B$5</f>
        <v>494.37959999999998</v>
      </c>
      <c r="C35" s="14">
        <f>IRR_Inputs!C$5</f>
        <v>327.66720000000004</v>
      </c>
      <c r="D35" s="14">
        <f>IRR_Inputs!D$5</f>
        <v>-315.59400000000005</v>
      </c>
      <c r="E35" s="14">
        <f>IRR_Inputs!E$5</f>
        <v>281.06639999999999</v>
      </c>
      <c r="F35" s="14">
        <f>IRR_Inputs!F$5</f>
        <v>472.18080000000009</v>
      </c>
      <c r="G35" s="14">
        <f>IRR_Inputs!G$5</f>
        <v>388.59840000000003</v>
      </c>
    </row>
    <row r="36" spans="1:7" x14ac:dyDescent="0.2">
      <c r="A36" s="9">
        <v>34</v>
      </c>
      <c r="B36" s="14">
        <f>IRR_Inputs!B$5</f>
        <v>494.37959999999998</v>
      </c>
      <c r="C36" s="14">
        <f>IRR_Inputs!C$5</f>
        <v>327.66720000000004</v>
      </c>
      <c r="D36" s="14">
        <f>IRR_Inputs!D$5</f>
        <v>-315.59400000000005</v>
      </c>
      <c r="E36" s="14">
        <f>IRR_Inputs!E$5</f>
        <v>281.06639999999999</v>
      </c>
      <c r="F36" s="14">
        <f>IRR_Inputs!F$5</f>
        <v>472.18080000000009</v>
      </c>
      <c r="G36" s="14">
        <f>IRR_Inputs!G$5</f>
        <v>388.59840000000003</v>
      </c>
    </row>
    <row r="37" spans="1:7" x14ac:dyDescent="0.2">
      <c r="A37" s="9">
        <v>35</v>
      </c>
      <c r="B37" s="14">
        <f>IRR_Inputs!B$5</f>
        <v>494.37959999999998</v>
      </c>
      <c r="C37" s="14">
        <f>IRR_Inputs!C$5</f>
        <v>327.66720000000004</v>
      </c>
      <c r="D37" s="14">
        <f>IRR_Inputs!D$5</f>
        <v>-315.59400000000005</v>
      </c>
      <c r="E37" s="14">
        <f>IRR_Inputs!E$5</f>
        <v>281.06639999999999</v>
      </c>
      <c r="F37" s="14">
        <f>IRR_Inputs!F$5</f>
        <v>472.18080000000009</v>
      </c>
      <c r="G37" s="14">
        <f>IRR_Inputs!G$5</f>
        <v>388.59840000000003</v>
      </c>
    </row>
    <row r="38" spans="1:7" x14ac:dyDescent="0.2">
      <c r="A38" s="9">
        <v>36</v>
      </c>
      <c r="B38" s="14">
        <f>IRR_Inputs!B$5</f>
        <v>494.37959999999998</v>
      </c>
      <c r="C38" s="14">
        <f>IRR_Inputs!C$5</f>
        <v>327.66720000000004</v>
      </c>
      <c r="D38" s="14">
        <f>IRR_Inputs!D$5</f>
        <v>-315.59400000000005</v>
      </c>
      <c r="E38" s="14">
        <f>IRR_Inputs!E$5</f>
        <v>281.06639999999999</v>
      </c>
      <c r="F38" s="14">
        <f>IRR_Inputs!F$5</f>
        <v>472.18080000000009</v>
      </c>
      <c r="G38" s="14">
        <f>IRR_Inputs!G$5</f>
        <v>388.59840000000003</v>
      </c>
    </row>
    <row r="39" spans="1:7" x14ac:dyDescent="0.2">
      <c r="A39" s="9">
        <v>37</v>
      </c>
      <c r="B39" s="14">
        <f>IRR_Inputs!B$5</f>
        <v>494.37959999999998</v>
      </c>
      <c r="C39" s="14">
        <f>IRR_Inputs!C$5</f>
        <v>327.66720000000004</v>
      </c>
      <c r="D39" s="14">
        <f>IRR_Inputs!D$5</f>
        <v>-315.59400000000005</v>
      </c>
      <c r="E39" s="14">
        <f>IRR_Inputs!E$5</f>
        <v>281.06639999999999</v>
      </c>
      <c r="F39" s="14">
        <f>IRR_Inputs!F$5</f>
        <v>472.18080000000009</v>
      </c>
      <c r="G39" s="14">
        <f>IRR_Inputs!G$5</f>
        <v>388.59840000000003</v>
      </c>
    </row>
    <row r="40" spans="1:7" x14ac:dyDescent="0.2">
      <c r="A40" s="9">
        <v>38</v>
      </c>
      <c r="B40" s="14">
        <f>IRR_Inputs!B$5</f>
        <v>494.37959999999998</v>
      </c>
      <c r="C40" s="14">
        <f>IRR_Inputs!C$5</f>
        <v>327.66720000000004</v>
      </c>
      <c r="D40" s="14">
        <f>IRR_Inputs!D$5</f>
        <v>-315.59400000000005</v>
      </c>
      <c r="E40" s="14">
        <f>IRR_Inputs!E$5</f>
        <v>281.06639999999999</v>
      </c>
      <c r="F40" s="14">
        <f>IRR_Inputs!F$5</f>
        <v>472.18080000000009</v>
      </c>
      <c r="G40" s="14">
        <f>IRR_Inputs!G$5</f>
        <v>388.59840000000003</v>
      </c>
    </row>
    <row r="41" spans="1:7" x14ac:dyDescent="0.2">
      <c r="A41" s="9">
        <v>39</v>
      </c>
      <c r="B41" s="14">
        <f>IRR_Inputs!B$5</f>
        <v>494.37959999999998</v>
      </c>
      <c r="C41" s="14">
        <f>IRR_Inputs!C$5</f>
        <v>327.66720000000004</v>
      </c>
      <c r="D41" s="14">
        <f>IRR_Inputs!D$5</f>
        <v>-315.59400000000005</v>
      </c>
      <c r="E41" s="14">
        <f>IRR_Inputs!E$5</f>
        <v>281.06639999999999</v>
      </c>
      <c r="F41" s="14">
        <f>IRR_Inputs!F$5</f>
        <v>472.18080000000009</v>
      </c>
      <c r="G41" s="14">
        <f>IRR_Inputs!G$5</f>
        <v>388.59840000000003</v>
      </c>
    </row>
    <row r="42" spans="1:7" x14ac:dyDescent="0.2">
      <c r="A42" s="9">
        <v>40</v>
      </c>
      <c r="B42" s="14">
        <f>IRR_Inputs!B$5</f>
        <v>494.37959999999998</v>
      </c>
      <c r="C42" s="14">
        <f>IRR_Inputs!C$5</f>
        <v>327.66720000000004</v>
      </c>
      <c r="D42" s="14">
        <f>IRR_Inputs!D$5</f>
        <v>-315.59400000000005</v>
      </c>
      <c r="E42" s="14">
        <f>IRR_Inputs!E$5</f>
        <v>281.06639999999999</v>
      </c>
      <c r="F42" s="14">
        <f>IRR_Inputs!F$5</f>
        <v>472.18080000000009</v>
      </c>
      <c r="G42" s="14">
        <f>IRR_Inputs!G$5</f>
        <v>388.59840000000003</v>
      </c>
    </row>
    <row r="43" spans="1:7" x14ac:dyDescent="0.2">
      <c r="A43" s="9">
        <v>41</v>
      </c>
      <c r="B43" s="14">
        <f>IRR_Inputs!B$5</f>
        <v>494.37959999999998</v>
      </c>
      <c r="C43" s="14">
        <f>IRR_Inputs!C$5</f>
        <v>327.66720000000004</v>
      </c>
      <c r="D43" s="14">
        <f>IRR_Inputs!D$5</f>
        <v>-315.59400000000005</v>
      </c>
      <c r="E43" s="14">
        <f>IRR_Inputs!E$5</f>
        <v>281.06639999999999</v>
      </c>
      <c r="F43" s="14">
        <f>IRR_Inputs!F$5</f>
        <v>472.18080000000009</v>
      </c>
      <c r="G43" s="14">
        <f>IRR_Inputs!G$5</f>
        <v>388.59840000000003</v>
      </c>
    </row>
    <row r="44" spans="1:7" x14ac:dyDescent="0.2">
      <c r="A44" s="9">
        <v>42</v>
      </c>
      <c r="B44" s="14">
        <f>IRR_Inputs!B$5</f>
        <v>494.37959999999998</v>
      </c>
      <c r="C44" s="14">
        <f>IRR_Inputs!C$5</f>
        <v>327.66720000000004</v>
      </c>
      <c r="D44" s="14">
        <f>IRR_Inputs!D$5</f>
        <v>-315.59400000000005</v>
      </c>
      <c r="E44" s="14">
        <f>IRR_Inputs!E$5</f>
        <v>281.06639999999999</v>
      </c>
      <c r="F44" s="14">
        <f>IRR_Inputs!F$5</f>
        <v>472.18080000000009</v>
      </c>
      <c r="G44" s="14">
        <f>IRR_Inputs!G$5</f>
        <v>388.59840000000003</v>
      </c>
    </row>
    <row r="45" spans="1:7" x14ac:dyDescent="0.2">
      <c r="A45" s="9">
        <v>43</v>
      </c>
      <c r="B45" s="14">
        <f>IRR_Inputs!B$5</f>
        <v>494.37959999999998</v>
      </c>
      <c r="C45" s="14">
        <f>IRR_Inputs!C$5</f>
        <v>327.66720000000004</v>
      </c>
      <c r="D45" s="14">
        <f>IRR_Inputs!D$5</f>
        <v>-315.59400000000005</v>
      </c>
      <c r="E45" s="14">
        <f>IRR_Inputs!E$5</f>
        <v>281.06639999999999</v>
      </c>
      <c r="F45" s="14">
        <f>IRR_Inputs!F$5</f>
        <v>472.18080000000009</v>
      </c>
      <c r="G45" s="14">
        <f>IRR_Inputs!G$5</f>
        <v>388.59840000000003</v>
      </c>
    </row>
    <row r="46" spans="1:7" x14ac:dyDescent="0.2">
      <c r="A46" s="9">
        <v>44</v>
      </c>
      <c r="B46" s="14">
        <f>IRR_Inputs!B$5</f>
        <v>494.37959999999998</v>
      </c>
      <c r="C46" s="14">
        <f>IRR_Inputs!C$5</f>
        <v>327.66720000000004</v>
      </c>
      <c r="D46" s="14">
        <f>IRR_Inputs!D$5</f>
        <v>-315.59400000000005</v>
      </c>
      <c r="E46" s="14">
        <f>IRR_Inputs!E$5</f>
        <v>281.06639999999999</v>
      </c>
      <c r="F46" s="14">
        <f>IRR_Inputs!F$5</f>
        <v>472.18080000000009</v>
      </c>
      <c r="G46" s="14">
        <f>IRR_Inputs!G$5</f>
        <v>388.59840000000003</v>
      </c>
    </row>
    <row r="47" spans="1:7" x14ac:dyDescent="0.2">
      <c r="A47" s="9">
        <v>45</v>
      </c>
      <c r="B47" s="14">
        <f>IRR_Inputs!B$5</f>
        <v>494.37959999999998</v>
      </c>
      <c r="C47" s="14">
        <f>IRR_Inputs!C$5</f>
        <v>327.66720000000004</v>
      </c>
      <c r="D47" s="14">
        <f>IRR_Inputs!D$5</f>
        <v>-315.59400000000005</v>
      </c>
      <c r="E47" s="14">
        <f>IRR_Inputs!E$5</f>
        <v>281.06639999999999</v>
      </c>
      <c r="F47" s="14">
        <f>IRR_Inputs!F$5</f>
        <v>472.18080000000009</v>
      </c>
      <c r="G47" s="14">
        <f>IRR_Inputs!G$5</f>
        <v>388.59840000000003</v>
      </c>
    </row>
    <row r="48" spans="1:7" x14ac:dyDescent="0.2">
      <c r="A48" s="9">
        <v>46</v>
      </c>
      <c r="B48" s="14">
        <f>IRR_Inputs!B$5</f>
        <v>494.37959999999998</v>
      </c>
      <c r="C48" s="14">
        <f>IRR_Inputs!C$5</f>
        <v>327.66720000000004</v>
      </c>
      <c r="D48" s="14">
        <f>IRR_Inputs!D$5</f>
        <v>-315.59400000000005</v>
      </c>
      <c r="E48" s="14">
        <f>IRR_Inputs!E$5</f>
        <v>281.06639999999999</v>
      </c>
      <c r="F48" s="14">
        <f>IRR_Inputs!F$5</f>
        <v>472.18080000000009</v>
      </c>
      <c r="G48" s="14">
        <f>IRR_Inputs!G$5</f>
        <v>388.59840000000003</v>
      </c>
    </row>
    <row r="49" spans="1:7" x14ac:dyDescent="0.2">
      <c r="A49" s="9">
        <v>47</v>
      </c>
      <c r="B49" s="14">
        <f>IRR_Inputs!B$5</f>
        <v>494.37959999999998</v>
      </c>
      <c r="C49" s="14">
        <f>IRR_Inputs!C$5</f>
        <v>327.66720000000004</v>
      </c>
      <c r="D49" s="14">
        <f>IRR_Inputs!D$5</f>
        <v>-315.59400000000005</v>
      </c>
      <c r="E49" s="14">
        <f>IRR_Inputs!E$5</f>
        <v>281.06639999999999</v>
      </c>
      <c r="F49" s="14">
        <f>IRR_Inputs!F$5</f>
        <v>472.18080000000009</v>
      </c>
      <c r="G49" s="14">
        <f>IRR_Inputs!G$5</f>
        <v>388.59840000000003</v>
      </c>
    </row>
    <row r="50" spans="1:7" x14ac:dyDescent="0.2">
      <c r="A50" s="9">
        <v>48</v>
      </c>
      <c r="B50" s="14">
        <f>IRR_Inputs!B$5</f>
        <v>494.37959999999998</v>
      </c>
      <c r="C50" s="14">
        <f>IRR_Inputs!C$5</f>
        <v>327.66720000000004</v>
      </c>
      <c r="D50" s="14">
        <f>IRR_Inputs!D$5</f>
        <v>-315.59400000000005</v>
      </c>
      <c r="E50" s="14">
        <f>IRR_Inputs!E$5</f>
        <v>281.06639999999999</v>
      </c>
      <c r="F50" s="14">
        <f>IRR_Inputs!F$5</f>
        <v>472.18080000000009</v>
      </c>
      <c r="G50" s="14">
        <f>IRR_Inputs!G$5</f>
        <v>388.59840000000003</v>
      </c>
    </row>
    <row r="51" spans="1:7" x14ac:dyDescent="0.2">
      <c r="A51" s="9">
        <v>49</v>
      </c>
      <c r="B51" s="14">
        <f>IRR_Inputs!B$5</f>
        <v>494.37959999999998</v>
      </c>
      <c r="C51" s="14">
        <f>IRR_Inputs!C$5</f>
        <v>327.66720000000004</v>
      </c>
      <c r="D51" s="14">
        <f>IRR_Inputs!D$5</f>
        <v>-315.59400000000005</v>
      </c>
      <c r="E51" s="14">
        <f>IRR_Inputs!E$5</f>
        <v>281.06639999999999</v>
      </c>
      <c r="F51" s="14">
        <f>IRR_Inputs!F$5</f>
        <v>472.18080000000009</v>
      </c>
      <c r="G51" s="14">
        <f>IRR_Inputs!G$5</f>
        <v>388.59840000000003</v>
      </c>
    </row>
    <row r="52" spans="1:7" x14ac:dyDescent="0.2">
      <c r="A52" s="9">
        <v>50</v>
      </c>
      <c r="B52" s="14">
        <f>IRR_Inputs!B$5</f>
        <v>494.37959999999998</v>
      </c>
      <c r="C52" s="14">
        <f>IRR_Inputs!C$5</f>
        <v>327.66720000000004</v>
      </c>
      <c r="D52" s="14">
        <f>IRR_Inputs!D$5</f>
        <v>-315.59400000000005</v>
      </c>
      <c r="E52" s="14">
        <f>IRR_Inputs!E$5</f>
        <v>281.06639999999999</v>
      </c>
      <c r="F52" s="14">
        <f>IRR_Inputs!F$5</f>
        <v>472.18080000000009</v>
      </c>
      <c r="G52" s="14">
        <f>IRR_Inputs!G$5</f>
        <v>388.59840000000003</v>
      </c>
    </row>
    <row r="53" spans="1:7" x14ac:dyDescent="0.2">
      <c r="A53" s="9">
        <v>51</v>
      </c>
      <c r="B53" s="14">
        <f>IRR_Inputs!B$5</f>
        <v>494.37959999999998</v>
      </c>
      <c r="C53" s="14">
        <f>IRR_Inputs!C$5</f>
        <v>327.66720000000004</v>
      </c>
      <c r="D53" s="14">
        <f>IRR_Inputs!D$5</f>
        <v>-315.59400000000005</v>
      </c>
      <c r="E53" s="14">
        <f>IRR_Inputs!E$5</f>
        <v>281.06639999999999</v>
      </c>
      <c r="F53" s="14">
        <f>IRR_Inputs!F$5</f>
        <v>472.18080000000009</v>
      </c>
      <c r="G53" s="14">
        <f>IRR_Inputs!G$5</f>
        <v>388.59840000000003</v>
      </c>
    </row>
    <row r="54" spans="1:7" x14ac:dyDescent="0.2">
      <c r="A54" s="9">
        <v>52</v>
      </c>
      <c r="B54" s="14">
        <f>IRR_Inputs!B$5</f>
        <v>494.37959999999998</v>
      </c>
      <c r="C54" s="14">
        <f>IRR_Inputs!C$5</f>
        <v>327.66720000000004</v>
      </c>
      <c r="D54" s="14">
        <f>IRR_Inputs!D$5</f>
        <v>-315.59400000000005</v>
      </c>
      <c r="E54" s="14">
        <f>IRR_Inputs!E$5</f>
        <v>281.06639999999999</v>
      </c>
      <c r="F54" s="14">
        <f>IRR_Inputs!F$5</f>
        <v>472.18080000000009</v>
      </c>
      <c r="G54" s="14">
        <f>IRR_Inputs!G$5</f>
        <v>388.59840000000003</v>
      </c>
    </row>
    <row r="55" spans="1:7" x14ac:dyDescent="0.2">
      <c r="A55" s="9">
        <v>53</v>
      </c>
      <c r="B55" s="14">
        <f>IRR_Inputs!B$5</f>
        <v>494.37959999999998</v>
      </c>
      <c r="C55" s="14">
        <f>IRR_Inputs!C$5</f>
        <v>327.66720000000004</v>
      </c>
      <c r="D55" s="14">
        <f>IRR_Inputs!D$5</f>
        <v>-315.59400000000005</v>
      </c>
      <c r="E55" s="14">
        <f>IRR_Inputs!E$5</f>
        <v>281.06639999999999</v>
      </c>
      <c r="F55" s="14">
        <f>IRR_Inputs!F$5</f>
        <v>472.18080000000009</v>
      </c>
      <c r="G55" s="14">
        <f>IRR_Inputs!G$5</f>
        <v>388.59840000000003</v>
      </c>
    </row>
    <row r="56" spans="1:7" x14ac:dyDescent="0.2">
      <c r="A56" s="9">
        <v>54</v>
      </c>
      <c r="B56" s="14">
        <f>IRR_Inputs!B$5</f>
        <v>494.37959999999998</v>
      </c>
      <c r="C56" s="14">
        <f>IRR_Inputs!C$5</f>
        <v>327.66720000000004</v>
      </c>
      <c r="D56" s="14">
        <f>IRR_Inputs!D$5</f>
        <v>-315.59400000000005</v>
      </c>
      <c r="E56" s="14">
        <f>IRR_Inputs!E$5</f>
        <v>281.06639999999999</v>
      </c>
      <c r="F56" s="14">
        <f>IRR_Inputs!F$5</f>
        <v>472.18080000000009</v>
      </c>
      <c r="G56" s="14">
        <f>IRR_Inputs!G$5</f>
        <v>388.59840000000003</v>
      </c>
    </row>
    <row r="57" spans="1:7" x14ac:dyDescent="0.2">
      <c r="A57" s="9">
        <v>55</v>
      </c>
      <c r="B57" s="14">
        <f>IRR_Inputs!B$5</f>
        <v>494.37959999999998</v>
      </c>
      <c r="C57" s="14">
        <f>IRR_Inputs!C$5</f>
        <v>327.66720000000004</v>
      </c>
      <c r="D57" s="14">
        <f>IRR_Inputs!D$5</f>
        <v>-315.59400000000005</v>
      </c>
      <c r="E57" s="14">
        <f>IRR_Inputs!E$5</f>
        <v>281.06639999999999</v>
      </c>
      <c r="F57" s="14">
        <f>IRR_Inputs!F$5</f>
        <v>472.18080000000009</v>
      </c>
      <c r="G57" s="14">
        <f>IRR_Inputs!G$5</f>
        <v>388.59840000000003</v>
      </c>
    </row>
    <row r="58" spans="1:7" x14ac:dyDescent="0.2">
      <c r="A58" s="9">
        <v>56</v>
      </c>
      <c r="B58" s="14">
        <f>IRR_Inputs!B$5</f>
        <v>494.37959999999998</v>
      </c>
      <c r="C58" s="14">
        <f>IRR_Inputs!C$5</f>
        <v>327.66720000000004</v>
      </c>
      <c r="D58" s="14">
        <f>IRR_Inputs!D$5</f>
        <v>-315.59400000000005</v>
      </c>
      <c r="E58" s="14">
        <f>IRR_Inputs!E$5</f>
        <v>281.06639999999999</v>
      </c>
      <c r="F58" s="14">
        <f>IRR_Inputs!F$5</f>
        <v>472.18080000000009</v>
      </c>
      <c r="G58" s="14">
        <f>IRR_Inputs!G$5</f>
        <v>388.59840000000003</v>
      </c>
    </row>
    <row r="59" spans="1:7" x14ac:dyDescent="0.2">
      <c r="A59" s="9">
        <v>57</v>
      </c>
      <c r="B59" s="14">
        <f>IRR_Inputs!B$5</f>
        <v>494.37959999999998</v>
      </c>
      <c r="C59" s="14">
        <f>IRR_Inputs!C$5</f>
        <v>327.66720000000004</v>
      </c>
      <c r="D59" s="14">
        <f>IRR_Inputs!D$5</f>
        <v>-315.59400000000005</v>
      </c>
      <c r="E59" s="14">
        <f>IRR_Inputs!E$5</f>
        <v>281.06639999999999</v>
      </c>
      <c r="F59" s="14">
        <f>IRR_Inputs!F$5</f>
        <v>472.18080000000009</v>
      </c>
      <c r="G59" s="14">
        <f>IRR_Inputs!G$5</f>
        <v>388.59840000000003</v>
      </c>
    </row>
    <row r="60" spans="1:7" x14ac:dyDescent="0.2">
      <c r="A60" s="9">
        <v>58</v>
      </c>
      <c r="B60" s="14">
        <f>IRR_Inputs!B$5</f>
        <v>494.37959999999998</v>
      </c>
      <c r="C60" s="14">
        <f>IRR_Inputs!C$5</f>
        <v>327.66720000000004</v>
      </c>
      <c r="D60" s="14">
        <f>IRR_Inputs!D$5</f>
        <v>-315.59400000000005</v>
      </c>
      <c r="E60" s="14">
        <f>IRR_Inputs!E$5</f>
        <v>281.06639999999999</v>
      </c>
      <c r="F60" s="14">
        <f>IRR_Inputs!F$5</f>
        <v>472.18080000000009</v>
      </c>
      <c r="G60" s="14">
        <f>IRR_Inputs!G$5</f>
        <v>388.59840000000003</v>
      </c>
    </row>
    <row r="61" spans="1:7" x14ac:dyDescent="0.2">
      <c r="A61" s="9">
        <v>59</v>
      </c>
      <c r="B61" s="14">
        <f>IRR_Inputs!B$5</f>
        <v>494.37959999999998</v>
      </c>
      <c r="C61" s="14">
        <f>IRR_Inputs!C$5</f>
        <v>327.66720000000004</v>
      </c>
      <c r="D61" s="14">
        <f>IRR_Inputs!D$5</f>
        <v>-315.59400000000005</v>
      </c>
      <c r="E61" s="14">
        <f>IRR_Inputs!E$5</f>
        <v>281.06639999999999</v>
      </c>
      <c r="F61" s="14">
        <f>IRR_Inputs!F$5</f>
        <v>472.18080000000009</v>
      </c>
      <c r="G61" s="14">
        <f>IRR_Inputs!G$5</f>
        <v>388.59840000000003</v>
      </c>
    </row>
    <row r="62" spans="1:7" x14ac:dyDescent="0.2">
      <c r="A62" s="9">
        <v>60</v>
      </c>
      <c r="B62" s="14">
        <f>IRR_Inputs!B$5</f>
        <v>494.37959999999998</v>
      </c>
      <c r="C62" s="14">
        <f>IRR_Inputs!C$5</f>
        <v>327.66720000000004</v>
      </c>
      <c r="D62" s="14">
        <f>IRR_Inputs!D$5</f>
        <v>-315.59400000000005</v>
      </c>
      <c r="E62" s="14">
        <f>IRR_Inputs!E$5</f>
        <v>281.06639999999999</v>
      </c>
      <c r="F62" s="14">
        <f>IRR_Inputs!F$5</f>
        <v>472.18080000000009</v>
      </c>
      <c r="G62" s="14">
        <f>IRR_Inputs!G$5</f>
        <v>388.59840000000003</v>
      </c>
    </row>
    <row r="63" spans="1:7" x14ac:dyDescent="0.2">
      <c r="A63" s="9">
        <v>61</v>
      </c>
      <c r="B63" s="14">
        <f>IRR_Inputs!B$5</f>
        <v>494.37959999999998</v>
      </c>
      <c r="C63" s="14">
        <f>IRR_Inputs!C$5</f>
        <v>327.66720000000004</v>
      </c>
      <c r="D63" s="14">
        <f>IRR_Inputs!D$5</f>
        <v>-315.59400000000005</v>
      </c>
      <c r="E63" s="14">
        <f>IRR_Inputs!E$5</f>
        <v>281.06639999999999</v>
      </c>
      <c r="F63" s="14">
        <f>IRR_Inputs!F$5</f>
        <v>472.18080000000009</v>
      </c>
      <c r="G63" s="14">
        <f>IRR_Inputs!G$5</f>
        <v>388.59840000000003</v>
      </c>
    </row>
    <row r="64" spans="1:7" x14ac:dyDescent="0.2">
      <c r="A64" s="9">
        <v>62</v>
      </c>
      <c r="B64" s="14">
        <f>IRR_Inputs!B$5</f>
        <v>494.37959999999998</v>
      </c>
      <c r="C64" s="14">
        <f>IRR_Inputs!C$5</f>
        <v>327.66720000000004</v>
      </c>
      <c r="D64" s="14">
        <f>IRR_Inputs!D$5</f>
        <v>-315.59400000000005</v>
      </c>
      <c r="E64" s="14">
        <f>IRR_Inputs!E$5</f>
        <v>281.06639999999999</v>
      </c>
      <c r="F64" s="14">
        <f>IRR_Inputs!F$5</f>
        <v>472.18080000000009</v>
      </c>
      <c r="G64" s="14">
        <f>IRR_Inputs!G$5</f>
        <v>388.59840000000003</v>
      </c>
    </row>
    <row r="65" spans="1:7" x14ac:dyDescent="0.2">
      <c r="A65" s="9">
        <v>63</v>
      </c>
      <c r="B65" s="14">
        <f>IRR_Inputs!B$5</f>
        <v>494.37959999999998</v>
      </c>
      <c r="C65" s="14">
        <f>IRR_Inputs!C$5</f>
        <v>327.66720000000004</v>
      </c>
      <c r="D65" s="14">
        <f>IRR_Inputs!D$5</f>
        <v>-315.59400000000005</v>
      </c>
      <c r="E65" s="14">
        <f>IRR_Inputs!E$5</f>
        <v>281.06639999999999</v>
      </c>
      <c r="F65" s="14">
        <f>IRR_Inputs!F$5</f>
        <v>472.18080000000009</v>
      </c>
      <c r="G65" s="14">
        <f>IRR_Inputs!G$5</f>
        <v>388.59840000000003</v>
      </c>
    </row>
    <row r="66" spans="1:7" x14ac:dyDescent="0.2">
      <c r="A66" s="9">
        <v>64</v>
      </c>
      <c r="B66" s="14">
        <f>IRR_Inputs!B$5</f>
        <v>494.37959999999998</v>
      </c>
      <c r="C66" s="14">
        <f>IRR_Inputs!C$5</f>
        <v>327.66720000000004</v>
      </c>
      <c r="D66" s="14">
        <f>IRR_Inputs!D$5</f>
        <v>-315.59400000000005</v>
      </c>
      <c r="E66" s="14">
        <f>IRR_Inputs!E$5</f>
        <v>281.06639999999999</v>
      </c>
      <c r="F66" s="14">
        <f>IRR_Inputs!F$5</f>
        <v>472.18080000000009</v>
      </c>
      <c r="G66" s="14">
        <f>IRR_Inputs!G$5</f>
        <v>388.59840000000003</v>
      </c>
    </row>
    <row r="67" spans="1:7" x14ac:dyDescent="0.2">
      <c r="A67" s="9">
        <v>65</v>
      </c>
      <c r="B67" s="14">
        <f>IRR_Inputs!B$5</f>
        <v>494.37959999999998</v>
      </c>
      <c r="C67" s="14">
        <f>IRR_Inputs!C$5</f>
        <v>327.66720000000004</v>
      </c>
      <c r="D67" s="14">
        <f>IRR_Inputs!D$5</f>
        <v>-315.59400000000005</v>
      </c>
      <c r="E67" s="14">
        <f>IRR_Inputs!E$5</f>
        <v>281.06639999999999</v>
      </c>
      <c r="F67" s="14">
        <f>IRR_Inputs!F$5</f>
        <v>472.18080000000009</v>
      </c>
      <c r="G67" s="14">
        <f>IRR_Inputs!G$5</f>
        <v>388.59840000000003</v>
      </c>
    </row>
    <row r="68" spans="1:7" x14ac:dyDescent="0.2">
      <c r="A68" s="9">
        <v>66</v>
      </c>
      <c r="B68" s="14">
        <f>IRR_Inputs!B$5</f>
        <v>494.37959999999998</v>
      </c>
      <c r="C68" s="14">
        <f>IRR_Inputs!C$5</f>
        <v>327.66720000000004</v>
      </c>
      <c r="D68" s="14">
        <f>IRR_Inputs!D$5</f>
        <v>-315.59400000000005</v>
      </c>
      <c r="E68" s="14">
        <f>IRR_Inputs!E$5</f>
        <v>281.06639999999999</v>
      </c>
      <c r="F68" s="14">
        <f>IRR_Inputs!F$5</f>
        <v>472.18080000000009</v>
      </c>
      <c r="G68" s="14">
        <f>IRR_Inputs!G$5</f>
        <v>388.59840000000003</v>
      </c>
    </row>
    <row r="69" spans="1:7" x14ac:dyDescent="0.2">
      <c r="A69" s="9">
        <v>67</v>
      </c>
      <c r="B69" s="14">
        <f>IRR_Inputs!B$5</f>
        <v>494.37959999999998</v>
      </c>
      <c r="C69" s="14">
        <f>IRR_Inputs!C$5</f>
        <v>327.66720000000004</v>
      </c>
      <c r="D69" s="14">
        <f>IRR_Inputs!D$5</f>
        <v>-315.59400000000005</v>
      </c>
      <c r="E69" s="14">
        <f>IRR_Inputs!E$5</f>
        <v>281.06639999999999</v>
      </c>
      <c r="F69" s="14">
        <f>IRR_Inputs!F$5</f>
        <v>472.18080000000009</v>
      </c>
      <c r="G69" s="14">
        <f>IRR_Inputs!G$5</f>
        <v>388.59840000000003</v>
      </c>
    </row>
    <row r="70" spans="1:7" x14ac:dyDescent="0.2">
      <c r="A70" s="9">
        <v>68</v>
      </c>
      <c r="B70" s="14">
        <f>IRR_Inputs!B$5</f>
        <v>494.37959999999998</v>
      </c>
      <c r="C70" s="14">
        <f>IRR_Inputs!C$5</f>
        <v>327.66720000000004</v>
      </c>
      <c r="D70" s="14">
        <f>IRR_Inputs!D$5</f>
        <v>-315.59400000000005</v>
      </c>
      <c r="E70" s="14">
        <f>IRR_Inputs!E$5</f>
        <v>281.06639999999999</v>
      </c>
      <c r="F70" s="14">
        <f>IRR_Inputs!F$5</f>
        <v>472.18080000000009</v>
      </c>
      <c r="G70" s="14">
        <f>IRR_Inputs!G$5</f>
        <v>388.59840000000003</v>
      </c>
    </row>
    <row r="71" spans="1:7" x14ac:dyDescent="0.2">
      <c r="A71" s="9">
        <v>69</v>
      </c>
      <c r="B71" s="14">
        <f>IRR_Inputs!B$5</f>
        <v>494.37959999999998</v>
      </c>
      <c r="C71" s="14">
        <f>IRR_Inputs!C$5</f>
        <v>327.66720000000004</v>
      </c>
      <c r="D71" s="14">
        <f>IRR_Inputs!D$5</f>
        <v>-315.59400000000005</v>
      </c>
      <c r="E71" s="14">
        <f>IRR_Inputs!E$5</f>
        <v>281.06639999999999</v>
      </c>
      <c r="F71" s="14">
        <f>IRR_Inputs!F$5</f>
        <v>472.18080000000009</v>
      </c>
      <c r="G71" s="14">
        <f>IRR_Inputs!G$5</f>
        <v>388.59840000000003</v>
      </c>
    </row>
    <row r="72" spans="1:7" x14ac:dyDescent="0.2">
      <c r="A72" s="9">
        <v>70</v>
      </c>
      <c r="B72" s="14">
        <f>IRR_Inputs!B$5</f>
        <v>494.37959999999998</v>
      </c>
      <c r="C72" s="14">
        <f>IRR_Inputs!C$5</f>
        <v>327.66720000000004</v>
      </c>
      <c r="D72" s="14">
        <f>IRR_Inputs!D$5</f>
        <v>-315.59400000000005</v>
      </c>
      <c r="E72" s="14">
        <f>IRR_Inputs!E$5</f>
        <v>281.06639999999999</v>
      </c>
      <c r="F72" s="14">
        <f>IRR_Inputs!F$5</f>
        <v>472.18080000000009</v>
      </c>
      <c r="G72" s="14">
        <f>IRR_Inputs!G$5</f>
        <v>388.59840000000003</v>
      </c>
    </row>
    <row r="73" spans="1:7" x14ac:dyDescent="0.2">
      <c r="A73" s="9">
        <v>71</v>
      </c>
      <c r="B73" s="14">
        <f>IRR_Inputs!B$5</f>
        <v>494.37959999999998</v>
      </c>
      <c r="C73" s="14">
        <f>IRR_Inputs!C$5</f>
        <v>327.66720000000004</v>
      </c>
      <c r="D73" s="14">
        <f>IRR_Inputs!D$5</f>
        <v>-315.59400000000005</v>
      </c>
      <c r="E73" s="14">
        <f>IRR_Inputs!E$5</f>
        <v>281.06639999999999</v>
      </c>
      <c r="F73" s="14">
        <f>IRR_Inputs!F$5</f>
        <v>472.18080000000009</v>
      </c>
      <c r="G73" s="14">
        <f>IRR_Inputs!G$5</f>
        <v>388.59840000000003</v>
      </c>
    </row>
    <row r="74" spans="1:7" x14ac:dyDescent="0.2">
      <c r="A74" s="9">
        <v>72</v>
      </c>
      <c r="B74" s="14">
        <f>IRR_Inputs!B$5</f>
        <v>494.37959999999998</v>
      </c>
      <c r="C74" s="14">
        <f>IRR_Inputs!C$5</f>
        <v>327.66720000000004</v>
      </c>
      <c r="D74" s="14">
        <f>IRR_Inputs!D$5</f>
        <v>-315.59400000000005</v>
      </c>
      <c r="E74" s="14">
        <f>IRR_Inputs!E$5</f>
        <v>281.06639999999999</v>
      </c>
      <c r="F74" s="14">
        <f>IRR_Inputs!F$5</f>
        <v>472.18080000000009</v>
      </c>
      <c r="G74" s="14">
        <f>IRR_Inputs!G$5</f>
        <v>388.59840000000003</v>
      </c>
    </row>
    <row r="75" spans="1:7" x14ac:dyDescent="0.2">
      <c r="A75" s="9">
        <v>73</v>
      </c>
      <c r="B75" s="14">
        <f>IRR_Inputs!B$5</f>
        <v>494.37959999999998</v>
      </c>
      <c r="C75" s="14">
        <f>IRR_Inputs!C$5</f>
        <v>327.66720000000004</v>
      </c>
      <c r="D75" s="14">
        <f>IRR_Inputs!D$5</f>
        <v>-315.59400000000005</v>
      </c>
      <c r="E75" s="14">
        <f>IRR_Inputs!E$5</f>
        <v>281.06639999999999</v>
      </c>
      <c r="F75" s="14">
        <f>IRR_Inputs!F$5</f>
        <v>472.18080000000009</v>
      </c>
      <c r="G75" s="14">
        <f>IRR_Inputs!G$5</f>
        <v>388.59840000000003</v>
      </c>
    </row>
    <row r="76" spans="1:7" x14ac:dyDescent="0.2">
      <c r="A76" s="9">
        <v>74</v>
      </c>
      <c r="B76" s="14">
        <f>IRR_Inputs!B$5</f>
        <v>494.37959999999998</v>
      </c>
      <c r="C76" s="14">
        <f>IRR_Inputs!C$5</f>
        <v>327.66720000000004</v>
      </c>
      <c r="D76" s="14">
        <f>IRR_Inputs!D$5</f>
        <v>-315.59400000000005</v>
      </c>
      <c r="E76" s="14">
        <f>IRR_Inputs!E$5</f>
        <v>281.06639999999999</v>
      </c>
      <c r="F76" s="14">
        <f>IRR_Inputs!F$5</f>
        <v>472.18080000000009</v>
      </c>
      <c r="G76" s="14">
        <f>IRR_Inputs!G$5</f>
        <v>388.59840000000003</v>
      </c>
    </row>
    <row r="77" spans="1:7" x14ac:dyDescent="0.2">
      <c r="A77" s="9">
        <v>75</v>
      </c>
      <c r="B77" s="14">
        <f>IRR_Inputs!B$5</f>
        <v>494.37959999999998</v>
      </c>
      <c r="C77" s="14">
        <f>IRR_Inputs!C$5</f>
        <v>327.66720000000004</v>
      </c>
      <c r="D77" s="14">
        <f>IRR_Inputs!D$5</f>
        <v>-315.59400000000005</v>
      </c>
      <c r="E77" s="14">
        <f>IRR_Inputs!E$5</f>
        <v>281.06639999999999</v>
      </c>
      <c r="F77" s="14">
        <f>IRR_Inputs!F$5</f>
        <v>472.18080000000009</v>
      </c>
      <c r="G77" s="14">
        <f>IRR_Inputs!G$5</f>
        <v>388.59840000000003</v>
      </c>
    </row>
    <row r="78" spans="1:7" x14ac:dyDescent="0.2">
      <c r="A78" s="9">
        <v>76</v>
      </c>
      <c r="B78" s="14">
        <f>IRR_Inputs!B$5</f>
        <v>494.37959999999998</v>
      </c>
      <c r="C78" s="14">
        <f>IRR_Inputs!C$5</f>
        <v>327.66720000000004</v>
      </c>
      <c r="D78" s="14">
        <f>IRR_Inputs!D$5</f>
        <v>-315.59400000000005</v>
      </c>
      <c r="E78" s="14">
        <f>IRR_Inputs!E$5</f>
        <v>281.06639999999999</v>
      </c>
      <c r="F78" s="14">
        <f>IRR_Inputs!F$5</f>
        <v>472.18080000000009</v>
      </c>
      <c r="G78" s="14">
        <f>IRR_Inputs!G$5</f>
        <v>388.59840000000003</v>
      </c>
    </row>
    <row r="79" spans="1:7" x14ac:dyDescent="0.2">
      <c r="A79" s="9">
        <v>77</v>
      </c>
      <c r="B79" s="14">
        <f>IRR_Inputs!B$5</f>
        <v>494.37959999999998</v>
      </c>
      <c r="C79" s="14">
        <f>IRR_Inputs!C$5</f>
        <v>327.66720000000004</v>
      </c>
      <c r="D79" s="14">
        <f>IRR_Inputs!D$5</f>
        <v>-315.59400000000005</v>
      </c>
      <c r="E79" s="14">
        <f>IRR_Inputs!E$5</f>
        <v>281.06639999999999</v>
      </c>
      <c r="F79" s="14">
        <f>IRR_Inputs!F$5</f>
        <v>472.18080000000009</v>
      </c>
      <c r="G79" s="14">
        <f>IRR_Inputs!G$5</f>
        <v>388.59840000000003</v>
      </c>
    </row>
    <row r="80" spans="1:7" x14ac:dyDescent="0.2">
      <c r="A80" s="9">
        <v>78</v>
      </c>
      <c r="B80" s="14">
        <f>IRR_Inputs!B$5</f>
        <v>494.37959999999998</v>
      </c>
      <c r="C80" s="14">
        <f>IRR_Inputs!C$5</f>
        <v>327.66720000000004</v>
      </c>
      <c r="D80" s="14">
        <f>IRR_Inputs!D$5</f>
        <v>-315.59400000000005</v>
      </c>
      <c r="E80" s="14">
        <f>IRR_Inputs!E$5</f>
        <v>281.06639999999999</v>
      </c>
      <c r="F80" s="14">
        <f>IRR_Inputs!F$5</f>
        <v>472.18080000000009</v>
      </c>
      <c r="G80" s="14">
        <f>IRR_Inputs!G$5</f>
        <v>388.59840000000003</v>
      </c>
    </row>
    <row r="81" spans="1:7" x14ac:dyDescent="0.2">
      <c r="A81" s="9">
        <v>79</v>
      </c>
      <c r="B81" s="14">
        <f>IRR_Inputs!B$5</f>
        <v>494.37959999999998</v>
      </c>
      <c r="C81" s="14">
        <f>IRR_Inputs!C$5</f>
        <v>327.66720000000004</v>
      </c>
      <c r="D81" s="14">
        <f>IRR_Inputs!D$5</f>
        <v>-315.59400000000005</v>
      </c>
      <c r="E81" s="14">
        <f>IRR_Inputs!E$5</f>
        <v>281.06639999999999</v>
      </c>
      <c r="F81" s="14">
        <f>IRR_Inputs!F$5</f>
        <v>472.18080000000009</v>
      </c>
      <c r="G81" s="14">
        <f>IRR_Inputs!G$5</f>
        <v>388.59840000000003</v>
      </c>
    </row>
    <row r="82" spans="1:7" x14ac:dyDescent="0.2">
      <c r="A82" s="9">
        <v>80</v>
      </c>
      <c r="B82" s="14">
        <f>IRR_Inputs!B$5</f>
        <v>494.37959999999998</v>
      </c>
      <c r="C82" s="14">
        <f>IRR_Inputs!C$5</f>
        <v>327.66720000000004</v>
      </c>
      <c r="D82" s="14">
        <f>IRR_Inputs!D$5</f>
        <v>-315.59400000000005</v>
      </c>
      <c r="E82" s="14">
        <f>IRR_Inputs!E$5</f>
        <v>281.06639999999999</v>
      </c>
      <c r="F82" s="14">
        <f>IRR_Inputs!F$5</f>
        <v>472.18080000000009</v>
      </c>
      <c r="G82" s="14">
        <f>IRR_Inputs!G$5</f>
        <v>388.59840000000003</v>
      </c>
    </row>
    <row r="83" spans="1:7" x14ac:dyDescent="0.2">
      <c r="A83" s="9">
        <v>81</v>
      </c>
      <c r="B83" s="14">
        <f>IRR_Inputs!B$5</f>
        <v>494.37959999999998</v>
      </c>
      <c r="C83" s="14">
        <f>IRR_Inputs!C$5</f>
        <v>327.66720000000004</v>
      </c>
      <c r="D83" s="14">
        <f>IRR_Inputs!D$5</f>
        <v>-315.59400000000005</v>
      </c>
      <c r="E83" s="14">
        <f>IRR_Inputs!E$5</f>
        <v>281.06639999999999</v>
      </c>
      <c r="F83" s="14">
        <f>IRR_Inputs!F$5</f>
        <v>472.18080000000009</v>
      </c>
      <c r="G83" s="14">
        <f>IRR_Inputs!G$5</f>
        <v>388.59840000000003</v>
      </c>
    </row>
    <row r="84" spans="1:7" x14ac:dyDescent="0.2">
      <c r="A84" s="9">
        <v>82</v>
      </c>
      <c r="B84" s="14">
        <f>IRR_Inputs!B$5</f>
        <v>494.37959999999998</v>
      </c>
      <c r="C84" s="14">
        <f>IRR_Inputs!C$5</f>
        <v>327.66720000000004</v>
      </c>
      <c r="D84" s="14">
        <f>IRR_Inputs!D$5</f>
        <v>-315.59400000000005</v>
      </c>
      <c r="E84" s="14">
        <f>IRR_Inputs!E$5</f>
        <v>281.06639999999999</v>
      </c>
      <c r="F84" s="14">
        <f>IRR_Inputs!F$5</f>
        <v>472.18080000000009</v>
      </c>
      <c r="G84" s="14">
        <f>IRR_Inputs!G$5</f>
        <v>388.59840000000003</v>
      </c>
    </row>
    <row r="85" spans="1:7" x14ac:dyDescent="0.2">
      <c r="A85" s="9">
        <v>83</v>
      </c>
      <c r="B85" s="14">
        <f>IRR_Inputs!B$5</f>
        <v>494.37959999999998</v>
      </c>
      <c r="C85" s="14">
        <f>IRR_Inputs!C$5</f>
        <v>327.66720000000004</v>
      </c>
      <c r="D85" s="14">
        <f>IRR_Inputs!D$5</f>
        <v>-315.59400000000005</v>
      </c>
      <c r="E85" s="14">
        <f>IRR_Inputs!E$5</f>
        <v>281.06639999999999</v>
      </c>
      <c r="F85" s="14">
        <f>IRR_Inputs!F$5</f>
        <v>472.18080000000009</v>
      </c>
      <c r="G85" s="14">
        <f>IRR_Inputs!G$5</f>
        <v>388.59840000000003</v>
      </c>
    </row>
    <row r="86" spans="1:7" x14ac:dyDescent="0.2">
      <c r="A86" s="9">
        <v>84</v>
      </c>
      <c r="B86" s="14">
        <f>IRR_Inputs!B$5</f>
        <v>494.37959999999998</v>
      </c>
      <c r="C86" s="14">
        <f>IRR_Inputs!C$5</f>
        <v>327.66720000000004</v>
      </c>
      <c r="D86" s="14">
        <f>IRR_Inputs!D$5</f>
        <v>-315.59400000000005</v>
      </c>
      <c r="E86" s="14">
        <f>IRR_Inputs!E$5</f>
        <v>281.06639999999999</v>
      </c>
      <c r="F86" s="14">
        <f>IRR_Inputs!F$5</f>
        <v>472.18080000000009</v>
      </c>
      <c r="G86" s="14">
        <f>IRR_Inputs!G$5</f>
        <v>388.59840000000003</v>
      </c>
    </row>
    <row r="87" spans="1:7" x14ac:dyDescent="0.2">
      <c r="A87" s="9">
        <v>85</v>
      </c>
      <c r="B87" s="14">
        <f>IRR_Inputs!B$5</f>
        <v>494.37959999999998</v>
      </c>
      <c r="C87" s="14">
        <f>IRR_Inputs!C$5</f>
        <v>327.66720000000004</v>
      </c>
      <c r="D87" s="14">
        <f>IRR_Inputs!D$5</f>
        <v>-315.59400000000005</v>
      </c>
      <c r="E87" s="14">
        <f>IRR_Inputs!E$5</f>
        <v>281.06639999999999</v>
      </c>
      <c r="F87" s="14">
        <f>IRR_Inputs!F$5</f>
        <v>472.18080000000009</v>
      </c>
      <c r="G87" s="14">
        <f>IRR_Inputs!G$5</f>
        <v>388.59840000000003</v>
      </c>
    </row>
    <row r="88" spans="1:7" x14ac:dyDescent="0.2">
      <c r="A88" s="9">
        <v>86</v>
      </c>
      <c r="B88" s="14">
        <f>IRR_Inputs!B$5</f>
        <v>494.37959999999998</v>
      </c>
      <c r="C88" s="14">
        <f>IRR_Inputs!C$5</f>
        <v>327.66720000000004</v>
      </c>
      <c r="D88" s="14">
        <f>IRR_Inputs!D$5</f>
        <v>-315.59400000000005</v>
      </c>
      <c r="E88" s="14">
        <f>IRR_Inputs!E$5</f>
        <v>281.06639999999999</v>
      </c>
      <c r="F88" s="14">
        <f>IRR_Inputs!F$5</f>
        <v>472.18080000000009</v>
      </c>
      <c r="G88" s="14">
        <f>IRR_Inputs!G$5</f>
        <v>388.59840000000003</v>
      </c>
    </row>
    <row r="89" spans="1:7" x14ac:dyDescent="0.2">
      <c r="A89" s="9">
        <v>87</v>
      </c>
      <c r="B89" s="14">
        <f>IRR_Inputs!B$5</f>
        <v>494.37959999999998</v>
      </c>
      <c r="C89" s="14">
        <f>IRR_Inputs!C$5</f>
        <v>327.66720000000004</v>
      </c>
      <c r="D89" s="14">
        <f>IRR_Inputs!D$5</f>
        <v>-315.59400000000005</v>
      </c>
      <c r="E89" s="14">
        <f>IRR_Inputs!E$5</f>
        <v>281.06639999999999</v>
      </c>
      <c r="F89" s="14">
        <f>IRR_Inputs!F$5</f>
        <v>472.18080000000009</v>
      </c>
      <c r="G89" s="14">
        <f>IRR_Inputs!G$5</f>
        <v>388.59840000000003</v>
      </c>
    </row>
    <row r="90" spans="1:7" x14ac:dyDescent="0.2">
      <c r="A90" s="9">
        <v>88</v>
      </c>
      <c r="B90" s="14">
        <f>IRR_Inputs!B$5</f>
        <v>494.37959999999998</v>
      </c>
      <c r="C90" s="14">
        <f>IRR_Inputs!C$5</f>
        <v>327.66720000000004</v>
      </c>
      <c r="D90" s="14">
        <f>IRR_Inputs!D$5</f>
        <v>-315.59400000000005</v>
      </c>
      <c r="E90" s="14">
        <f>IRR_Inputs!E$5</f>
        <v>281.06639999999999</v>
      </c>
      <c r="F90" s="14">
        <f>IRR_Inputs!F$5</f>
        <v>472.18080000000009</v>
      </c>
      <c r="G90" s="14">
        <f>IRR_Inputs!G$5</f>
        <v>388.59840000000003</v>
      </c>
    </row>
    <row r="91" spans="1:7" x14ac:dyDescent="0.2">
      <c r="A91" s="9">
        <v>89</v>
      </c>
      <c r="B91" s="14">
        <f>IRR_Inputs!B$5</f>
        <v>494.37959999999998</v>
      </c>
      <c r="C91" s="14">
        <f>IRR_Inputs!C$5</f>
        <v>327.66720000000004</v>
      </c>
      <c r="D91" s="14">
        <f>IRR_Inputs!D$5</f>
        <v>-315.59400000000005</v>
      </c>
      <c r="E91" s="14">
        <f>IRR_Inputs!E$5</f>
        <v>281.06639999999999</v>
      </c>
      <c r="F91" s="14">
        <f>IRR_Inputs!F$5</f>
        <v>472.18080000000009</v>
      </c>
      <c r="G91" s="14">
        <f>IRR_Inputs!G$5</f>
        <v>388.59840000000003</v>
      </c>
    </row>
    <row r="92" spans="1:7" x14ac:dyDescent="0.2">
      <c r="A92" s="9">
        <v>90</v>
      </c>
      <c r="B92" s="14">
        <f>IRR_Inputs!B$5</f>
        <v>494.37959999999998</v>
      </c>
      <c r="C92" s="14">
        <f>IRR_Inputs!C$5</f>
        <v>327.66720000000004</v>
      </c>
      <c r="D92" s="14">
        <f>IRR_Inputs!D$5</f>
        <v>-315.59400000000005</v>
      </c>
      <c r="E92" s="14">
        <f>IRR_Inputs!E$5</f>
        <v>281.06639999999999</v>
      </c>
      <c r="F92" s="14">
        <f>IRR_Inputs!F$5</f>
        <v>472.18080000000009</v>
      </c>
      <c r="G92" s="14">
        <f>IRR_Inputs!G$5</f>
        <v>388.59840000000003</v>
      </c>
    </row>
    <row r="93" spans="1:7" x14ac:dyDescent="0.2">
      <c r="A93" s="9">
        <v>91</v>
      </c>
      <c r="B93" s="14">
        <f>IRR_Inputs!B$5</f>
        <v>494.37959999999998</v>
      </c>
      <c r="C93" s="14">
        <f>IRR_Inputs!C$5</f>
        <v>327.66720000000004</v>
      </c>
      <c r="D93" s="14">
        <f>IRR_Inputs!D$5</f>
        <v>-315.59400000000005</v>
      </c>
      <c r="E93" s="14">
        <f>IRR_Inputs!E$5</f>
        <v>281.06639999999999</v>
      </c>
      <c r="F93" s="14">
        <f>IRR_Inputs!F$5</f>
        <v>472.18080000000009</v>
      </c>
      <c r="G93" s="14">
        <f>IRR_Inputs!G$5</f>
        <v>388.59840000000003</v>
      </c>
    </row>
    <row r="94" spans="1:7" x14ac:dyDescent="0.2">
      <c r="A94" s="9">
        <v>92</v>
      </c>
      <c r="B94" s="14">
        <f>IRR_Inputs!B$5</f>
        <v>494.37959999999998</v>
      </c>
      <c r="C94" s="14">
        <f>IRR_Inputs!C$5</f>
        <v>327.66720000000004</v>
      </c>
      <c r="D94" s="14">
        <f>IRR_Inputs!D$5</f>
        <v>-315.59400000000005</v>
      </c>
      <c r="E94" s="14">
        <f>IRR_Inputs!E$5</f>
        <v>281.06639999999999</v>
      </c>
      <c r="F94" s="14">
        <f>IRR_Inputs!F$5</f>
        <v>472.18080000000009</v>
      </c>
      <c r="G94" s="14">
        <f>IRR_Inputs!G$5</f>
        <v>388.59840000000003</v>
      </c>
    </row>
    <row r="95" spans="1:7" x14ac:dyDescent="0.2">
      <c r="A95" s="9">
        <v>93</v>
      </c>
      <c r="B95" s="14">
        <f>IRR_Inputs!B$5</f>
        <v>494.37959999999998</v>
      </c>
      <c r="C95" s="14">
        <f>IRR_Inputs!C$5</f>
        <v>327.66720000000004</v>
      </c>
      <c r="D95" s="14">
        <f>IRR_Inputs!D$5</f>
        <v>-315.59400000000005</v>
      </c>
      <c r="E95" s="14">
        <f>IRR_Inputs!E$5</f>
        <v>281.06639999999999</v>
      </c>
      <c r="F95" s="14">
        <f>IRR_Inputs!F$5</f>
        <v>472.18080000000009</v>
      </c>
      <c r="G95" s="14">
        <f>IRR_Inputs!G$5</f>
        <v>388.59840000000003</v>
      </c>
    </row>
    <row r="96" spans="1:7" x14ac:dyDescent="0.2">
      <c r="A96" s="9">
        <v>94</v>
      </c>
      <c r="B96" s="14">
        <f>IRR_Inputs!B$5</f>
        <v>494.37959999999998</v>
      </c>
      <c r="C96" s="14">
        <f>IRR_Inputs!C$5</f>
        <v>327.66720000000004</v>
      </c>
      <c r="D96" s="14">
        <f>IRR_Inputs!D$5</f>
        <v>-315.59400000000005</v>
      </c>
      <c r="E96" s="14">
        <f>IRR_Inputs!E$5</f>
        <v>281.06639999999999</v>
      </c>
      <c r="F96" s="14">
        <f>IRR_Inputs!F$5</f>
        <v>472.18080000000009</v>
      </c>
      <c r="G96" s="14">
        <f>IRR_Inputs!G$5</f>
        <v>388.59840000000003</v>
      </c>
    </row>
    <row r="97" spans="1:7" x14ac:dyDescent="0.2">
      <c r="A97" s="9">
        <v>95</v>
      </c>
      <c r="B97" s="14">
        <f>IRR_Inputs!B$5</f>
        <v>494.37959999999998</v>
      </c>
      <c r="C97" s="14">
        <f>IRR_Inputs!C$5</f>
        <v>327.66720000000004</v>
      </c>
      <c r="D97" s="14">
        <f>IRR_Inputs!D$5</f>
        <v>-315.59400000000005</v>
      </c>
      <c r="E97" s="14">
        <f>IRR_Inputs!E$5</f>
        <v>281.06639999999999</v>
      </c>
      <c r="F97" s="14">
        <f>IRR_Inputs!F$5</f>
        <v>472.18080000000009</v>
      </c>
      <c r="G97" s="14">
        <f>IRR_Inputs!G$5</f>
        <v>388.59840000000003</v>
      </c>
    </row>
    <row r="98" spans="1:7" x14ac:dyDescent="0.2">
      <c r="A98" s="9">
        <v>96</v>
      </c>
      <c r="B98" s="14">
        <f>IRR_Inputs!B$5</f>
        <v>494.37959999999998</v>
      </c>
      <c r="C98" s="14">
        <f>IRR_Inputs!C$5</f>
        <v>327.66720000000004</v>
      </c>
      <c r="D98" s="14">
        <f>IRR_Inputs!D$5</f>
        <v>-315.59400000000005</v>
      </c>
      <c r="E98" s="14">
        <f>IRR_Inputs!E$5</f>
        <v>281.06639999999999</v>
      </c>
      <c r="F98" s="14">
        <f>IRR_Inputs!F$5</f>
        <v>472.18080000000009</v>
      </c>
      <c r="G98" s="14">
        <f>IRR_Inputs!G$5</f>
        <v>388.59840000000003</v>
      </c>
    </row>
    <row r="99" spans="1:7" x14ac:dyDescent="0.2">
      <c r="A99" s="9">
        <v>97</v>
      </c>
      <c r="B99" s="14">
        <f>IRR_Inputs!B$5</f>
        <v>494.37959999999998</v>
      </c>
      <c r="C99" s="14">
        <f>IRR_Inputs!C$5</f>
        <v>327.66720000000004</v>
      </c>
      <c r="D99" s="14">
        <f>IRR_Inputs!D$5</f>
        <v>-315.59400000000005</v>
      </c>
      <c r="E99" s="14">
        <f>IRR_Inputs!E$5</f>
        <v>281.06639999999999</v>
      </c>
      <c r="F99" s="14">
        <f>IRR_Inputs!F$5</f>
        <v>472.18080000000009</v>
      </c>
      <c r="G99" s="14">
        <f>IRR_Inputs!G$5</f>
        <v>388.59840000000003</v>
      </c>
    </row>
    <row r="100" spans="1:7" x14ac:dyDescent="0.2">
      <c r="A100" s="9">
        <v>98</v>
      </c>
      <c r="B100" s="14">
        <f>IRR_Inputs!B$5</f>
        <v>494.37959999999998</v>
      </c>
      <c r="C100" s="14">
        <f>IRR_Inputs!C$5</f>
        <v>327.66720000000004</v>
      </c>
      <c r="D100" s="14">
        <f>IRR_Inputs!D$5</f>
        <v>-315.59400000000005</v>
      </c>
      <c r="E100" s="14">
        <f>IRR_Inputs!E$5</f>
        <v>281.06639999999999</v>
      </c>
      <c r="F100" s="14">
        <f>IRR_Inputs!F$5</f>
        <v>472.18080000000009</v>
      </c>
      <c r="G100" s="14">
        <f>IRR_Inputs!G$5</f>
        <v>388.59840000000003</v>
      </c>
    </row>
    <row r="101" spans="1:7" x14ac:dyDescent="0.2">
      <c r="A101" s="9">
        <v>99</v>
      </c>
      <c r="B101" s="14">
        <f>IRR_Inputs!B$5</f>
        <v>494.37959999999998</v>
      </c>
      <c r="C101" s="14">
        <f>IRR_Inputs!C$5</f>
        <v>327.66720000000004</v>
      </c>
      <c r="D101" s="14">
        <f>IRR_Inputs!D$5</f>
        <v>-315.59400000000005</v>
      </c>
      <c r="E101" s="14">
        <f>IRR_Inputs!E$5</f>
        <v>281.06639999999999</v>
      </c>
      <c r="F101" s="14">
        <f>IRR_Inputs!F$5</f>
        <v>472.18080000000009</v>
      </c>
      <c r="G101" s="14">
        <f>IRR_Inputs!G$5</f>
        <v>388.59840000000003</v>
      </c>
    </row>
    <row r="102" spans="1:7" x14ac:dyDescent="0.2">
      <c r="A102" s="9">
        <v>100</v>
      </c>
      <c r="B102" s="14">
        <f>IRR_Inputs!B$5</f>
        <v>494.37959999999998</v>
      </c>
      <c r="C102" s="14">
        <f>IRR_Inputs!C$5</f>
        <v>327.66720000000004</v>
      </c>
      <c r="D102" s="14">
        <f>IRR_Inputs!D$5</f>
        <v>-315.59400000000005</v>
      </c>
      <c r="E102" s="14">
        <f>IRR_Inputs!E$5</f>
        <v>281.06639999999999</v>
      </c>
      <c r="F102" s="14">
        <f>IRR_Inputs!F$5</f>
        <v>472.18080000000009</v>
      </c>
      <c r="G102" s="14">
        <f>IRR_Inputs!G$5</f>
        <v>388.59840000000003</v>
      </c>
    </row>
    <row r="103" spans="1:7" x14ac:dyDescent="0.2">
      <c r="A103" s="9">
        <v>101</v>
      </c>
      <c r="B103" s="14">
        <f>IRR_Inputs!B$5</f>
        <v>494.37959999999998</v>
      </c>
      <c r="C103" s="14">
        <f>IRR_Inputs!C$5</f>
        <v>327.66720000000004</v>
      </c>
      <c r="D103" s="14">
        <f>IRR_Inputs!D$5</f>
        <v>-315.59400000000005</v>
      </c>
      <c r="E103" s="14">
        <f>IRR_Inputs!E$5</f>
        <v>281.06639999999999</v>
      </c>
      <c r="F103" s="14">
        <f>IRR_Inputs!F$5</f>
        <v>472.18080000000009</v>
      </c>
      <c r="G103" s="14">
        <f>IRR_Inputs!G$5</f>
        <v>388.59840000000003</v>
      </c>
    </row>
    <row r="104" spans="1:7" x14ac:dyDescent="0.2">
      <c r="A104" s="9">
        <v>102</v>
      </c>
      <c r="B104" s="14">
        <f>IRR_Inputs!B$5</f>
        <v>494.37959999999998</v>
      </c>
      <c r="C104" s="14">
        <f>IRR_Inputs!C$5</f>
        <v>327.66720000000004</v>
      </c>
      <c r="D104" s="14">
        <f>IRR_Inputs!D$5</f>
        <v>-315.59400000000005</v>
      </c>
      <c r="E104" s="14">
        <f>IRR_Inputs!E$5</f>
        <v>281.06639999999999</v>
      </c>
      <c r="F104" s="14">
        <f>IRR_Inputs!F$5</f>
        <v>472.18080000000009</v>
      </c>
      <c r="G104" s="14">
        <f>IRR_Inputs!G$5</f>
        <v>388.59840000000003</v>
      </c>
    </row>
    <row r="105" spans="1:7" x14ac:dyDescent="0.2">
      <c r="A105" s="9">
        <v>103</v>
      </c>
      <c r="B105" s="14">
        <f>IRR_Inputs!B$5</f>
        <v>494.37959999999998</v>
      </c>
      <c r="C105" s="14">
        <f>IRR_Inputs!C$5</f>
        <v>327.66720000000004</v>
      </c>
      <c r="D105" s="14">
        <f>IRR_Inputs!D$5</f>
        <v>-315.59400000000005</v>
      </c>
      <c r="E105" s="14">
        <f>IRR_Inputs!E$5</f>
        <v>281.06639999999999</v>
      </c>
      <c r="F105" s="14">
        <f>IRR_Inputs!F$5</f>
        <v>472.18080000000009</v>
      </c>
      <c r="G105" s="14">
        <f>IRR_Inputs!G$5</f>
        <v>388.59840000000003</v>
      </c>
    </row>
    <row r="106" spans="1:7" x14ac:dyDescent="0.2">
      <c r="A106" s="9">
        <v>104</v>
      </c>
      <c r="B106" s="14">
        <f>IRR_Inputs!B$5</f>
        <v>494.37959999999998</v>
      </c>
      <c r="C106" s="14">
        <f>IRR_Inputs!C$5</f>
        <v>327.66720000000004</v>
      </c>
      <c r="D106" s="14">
        <f>IRR_Inputs!D$5</f>
        <v>-315.59400000000005</v>
      </c>
      <c r="E106" s="14">
        <f>IRR_Inputs!E$5</f>
        <v>281.06639999999999</v>
      </c>
      <c r="F106" s="14">
        <f>IRR_Inputs!F$5</f>
        <v>472.18080000000009</v>
      </c>
      <c r="G106" s="14">
        <f>IRR_Inputs!G$5</f>
        <v>388.59840000000003</v>
      </c>
    </row>
    <row r="107" spans="1:7" x14ac:dyDescent="0.2">
      <c r="A107" s="9">
        <v>105</v>
      </c>
      <c r="B107" s="14">
        <f>IRR_Inputs!B$5</f>
        <v>494.37959999999998</v>
      </c>
      <c r="C107" s="14">
        <f>IRR_Inputs!C$5</f>
        <v>327.66720000000004</v>
      </c>
      <c r="D107" s="14">
        <f>IRR_Inputs!D$5</f>
        <v>-315.59400000000005</v>
      </c>
      <c r="E107" s="14">
        <f>IRR_Inputs!E$5</f>
        <v>281.06639999999999</v>
      </c>
      <c r="F107" s="14">
        <f>IRR_Inputs!F$5</f>
        <v>472.18080000000009</v>
      </c>
      <c r="G107" s="14">
        <f>IRR_Inputs!G$5</f>
        <v>388.59840000000003</v>
      </c>
    </row>
    <row r="108" spans="1:7" x14ac:dyDescent="0.2">
      <c r="A108" s="9">
        <v>106</v>
      </c>
      <c r="B108" s="14">
        <f>IRR_Inputs!B$5</f>
        <v>494.37959999999998</v>
      </c>
      <c r="C108" s="14">
        <f>IRR_Inputs!C$5</f>
        <v>327.66720000000004</v>
      </c>
      <c r="D108" s="14">
        <f>IRR_Inputs!D$5</f>
        <v>-315.59400000000005</v>
      </c>
      <c r="E108" s="14">
        <f>IRR_Inputs!E$5</f>
        <v>281.06639999999999</v>
      </c>
      <c r="F108" s="14">
        <f>IRR_Inputs!F$5</f>
        <v>472.18080000000009</v>
      </c>
      <c r="G108" s="14">
        <f>IRR_Inputs!G$5</f>
        <v>388.59840000000003</v>
      </c>
    </row>
    <row r="109" spans="1:7" x14ac:dyDescent="0.2">
      <c r="A109" s="9">
        <v>107</v>
      </c>
      <c r="B109" s="14">
        <f>IRR_Inputs!B$5</f>
        <v>494.37959999999998</v>
      </c>
      <c r="C109" s="14">
        <f>IRR_Inputs!C$5</f>
        <v>327.66720000000004</v>
      </c>
      <c r="D109" s="14">
        <f>IRR_Inputs!D$5</f>
        <v>-315.59400000000005</v>
      </c>
      <c r="E109" s="14">
        <f>IRR_Inputs!E$5</f>
        <v>281.06639999999999</v>
      </c>
      <c r="F109" s="14">
        <f>IRR_Inputs!F$5</f>
        <v>472.18080000000009</v>
      </c>
      <c r="G109" s="14">
        <f>IRR_Inputs!G$5</f>
        <v>388.59840000000003</v>
      </c>
    </row>
    <row r="110" spans="1:7" x14ac:dyDescent="0.2">
      <c r="A110" s="9">
        <v>108</v>
      </c>
      <c r="B110" s="14">
        <f>IRR_Inputs!B$5</f>
        <v>494.37959999999998</v>
      </c>
      <c r="C110" s="14">
        <f>IRR_Inputs!C$5</f>
        <v>327.66720000000004</v>
      </c>
      <c r="D110" s="14">
        <f>IRR_Inputs!D$5</f>
        <v>-315.59400000000005</v>
      </c>
      <c r="E110" s="14">
        <f>IRR_Inputs!E$5</f>
        <v>281.06639999999999</v>
      </c>
      <c r="F110" s="14">
        <f>IRR_Inputs!F$5</f>
        <v>472.18080000000009</v>
      </c>
      <c r="G110" s="14">
        <f>IRR_Inputs!G$5</f>
        <v>388.59840000000003</v>
      </c>
    </row>
    <row r="111" spans="1:7" x14ac:dyDescent="0.2">
      <c r="A111" s="9">
        <v>109</v>
      </c>
      <c r="B111" s="14">
        <f>IRR_Inputs!B$5</f>
        <v>494.37959999999998</v>
      </c>
      <c r="C111" s="14">
        <f>IRR_Inputs!C$5</f>
        <v>327.66720000000004</v>
      </c>
      <c r="D111" s="14">
        <f>IRR_Inputs!D$5</f>
        <v>-315.59400000000005</v>
      </c>
      <c r="E111" s="14">
        <f>IRR_Inputs!E$5</f>
        <v>281.06639999999999</v>
      </c>
      <c r="F111" s="14">
        <f>IRR_Inputs!F$5</f>
        <v>472.18080000000009</v>
      </c>
      <c r="G111" s="14">
        <f>IRR_Inputs!G$5</f>
        <v>388.59840000000003</v>
      </c>
    </row>
    <row r="112" spans="1:7" x14ac:dyDescent="0.2">
      <c r="A112" s="9">
        <v>110</v>
      </c>
      <c r="B112" s="14">
        <f>IRR_Inputs!B$5</f>
        <v>494.37959999999998</v>
      </c>
      <c r="C112" s="14">
        <f>IRR_Inputs!C$5</f>
        <v>327.66720000000004</v>
      </c>
      <c r="D112" s="14">
        <f>IRR_Inputs!D$5</f>
        <v>-315.59400000000005</v>
      </c>
      <c r="E112" s="14">
        <f>IRR_Inputs!E$5</f>
        <v>281.06639999999999</v>
      </c>
      <c r="F112" s="14">
        <f>IRR_Inputs!F$5</f>
        <v>472.18080000000009</v>
      </c>
      <c r="G112" s="14">
        <f>IRR_Inputs!G$5</f>
        <v>388.59840000000003</v>
      </c>
    </row>
    <row r="113" spans="1:7" x14ac:dyDescent="0.2">
      <c r="A113" s="9">
        <v>111</v>
      </c>
      <c r="B113" s="14">
        <f>IRR_Inputs!B$5</f>
        <v>494.37959999999998</v>
      </c>
      <c r="C113" s="14">
        <f>IRR_Inputs!C$5</f>
        <v>327.66720000000004</v>
      </c>
      <c r="D113" s="14">
        <f>IRR_Inputs!D$5</f>
        <v>-315.59400000000005</v>
      </c>
      <c r="E113" s="14">
        <f>IRR_Inputs!E$5</f>
        <v>281.06639999999999</v>
      </c>
      <c r="F113" s="14">
        <f>IRR_Inputs!F$5</f>
        <v>472.18080000000009</v>
      </c>
      <c r="G113" s="14">
        <f>IRR_Inputs!G$5</f>
        <v>388.59840000000003</v>
      </c>
    </row>
    <row r="114" spans="1:7" x14ac:dyDescent="0.2">
      <c r="A114" s="9">
        <v>112</v>
      </c>
      <c r="B114" s="14">
        <f>IRR_Inputs!B$5</f>
        <v>494.37959999999998</v>
      </c>
      <c r="C114" s="14">
        <f>IRR_Inputs!C$5</f>
        <v>327.66720000000004</v>
      </c>
      <c r="D114" s="14">
        <f>IRR_Inputs!D$5</f>
        <v>-315.59400000000005</v>
      </c>
      <c r="E114" s="14">
        <f>IRR_Inputs!E$5</f>
        <v>281.06639999999999</v>
      </c>
      <c r="F114" s="14">
        <f>IRR_Inputs!F$5</f>
        <v>472.18080000000009</v>
      </c>
      <c r="G114" s="14">
        <f>IRR_Inputs!G$5</f>
        <v>388.59840000000003</v>
      </c>
    </row>
    <row r="115" spans="1:7" x14ac:dyDescent="0.2">
      <c r="A115" s="9">
        <v>113</v>
      </c>
      <c r="B115" s="14">
        <f>IRR_Inputs!B$5</f>
        <v>494.37959999999998</v>
      </c>
      <c r="C115" s="14">
        <f>IRR_Inputs!C$5</f>
        <v>327.66720000000004</v>
      </c>
      <c r="D115" s="14">
        <f>IRR_Inputs!D$5</f>
        <v>-315.59400000000005</v>
      </c>
      <c r="E115" s="14">
        <f>IRR_Inputs!E$5</f>
        <v>281.06639999999999</v>
      </c>
      <c r="F115" s="14">
        <f>IRR_Inputs!F$5</f>
        <v>472.18080000000009</v>
      </c>
      <c r="G115" s="14">
        <f>IRR_Inputs!G$5</f>
        <v>388.59840000000003</v>
      </c>
    </row>
    <row r="116" spans="1:7" x14ac:dyDescent="0.2">
      <c r="A116" s="9">
        <v>114</v>
      </c>
      <c r="B116" s="14">
        <f>IRR_Inputs!B$5</f>
        <v>494.37959999999998</v>
      </c>
      <c r="C116" s="14">
        <f>IRR_Inputs!C$5</f>
        <v>327.66720000000004</v>
      </c>
      <c r="D116" s="14">
        <f>IRR_Inputs!D$5</f>
        <v>-315.59400000000005</v>
      </c>
      <c r="E116" s="14">
        <f>IRR_Inputs!E$5</f>
        <v>281.06639999999999</v>
      </c>
      <c r="F116" s="14">
        <f>IRR_Inputs!F$5</f>
        <v>472.18080000000009</v>
      </c>
      <c r="G116" s="14">
        <f>IRR_Inputs!G$5</f>
        <v>388.59840000000003</v>
      </c>
    </row>
    <row r="117" spans="1:7" x14ac:dyDescent="0.2">
      <c r="A117" s="9">
        <v>115</v>
      </c>
      <c r="B117" s="14">
        <f>IRR_Inputs!B$5</f>
        <v>494.37959999999998</v>
      </c>
      <c r="C117" s="14">
        <f>IRR_Inputs!C$5</f>
        <v>327.66720000000004</v>
      </c>
      <c r="D117" s="14">
        <f>IRR_Inputs!D$5</f>
        <v>-315.59400000000005</v>
      </c>
      <c r="E117" s="14">
        <f>IRR_Inputs!E$5</f>
        <v>281.06639999999999</v>
      </c>
      <c r="F117" s="14">
        <f>IRR_Inputs!F$5</f>
        <v>472.18080000000009</v>
      </c>
      <c r="G117" s="14">
        <f>IRR_Inputs!G$5</f>
        <v>388.59840000000003</v>
      </c>
    </row>
    <row r="118" spans="1:7" x14ac:dyDescent="0.2">
      <c r="A118" s="9">
        <v>116</v>
      </c>
      <c r="B118" s="14">
        <f>IRR_Inputs!B$5</f>
        <v>494.37959999999998</v>
      </c>
      <c r="C118" s="14">
        <f>IRR_Inputs!C$5</f>
        <v>327.66720000000004</v>
      </c>
      <c r="D118" s="14">
        <f>IRR_Inputs!D$5</f>
        <v>-315.59400000000005</v>
      </c>
      <c r="E118" s="14">
        <f>IRR_Inputs!E$5</f>
        <v>281.06639999999999</v>
      </c>
      <c r="F118" s="14">
        <f>IRR_Inputs!F$5</f>
        <v>472.18080000000009</v>
      </c>
      <c r="G118" s="14">
        <f>IRR_Inputs!G$5</f>
        <v>388.59840000000003</v>
      </c>
    </row>
    <row r="119" spans="1:7" x14ac:dyDescent="0.2">
      <c r="A119" s="9">
        <v>117</v>
      </c>
      <c r="B119" s="14">
        <f>IRR_Inputs!B$5</f>
        <v>494.37959999999998</v>
      </c>
      <c r="C119" s="14">
        <f>IRR_Inputs!C$5</f>
        <v>327.66720000000004</v>
      </c>
      <c r="D119" s="14">
        <f>IRR_Inputs!D$5</f>
        <v>-315.59400000000005</v>
      </c>
      <c r="E119" s="14">
        <f>IRR_Inputs!E$5</f>
        <v>281.06639999999999</v>
      </c>
      <c r="F119" s="14">
        <f>IRR_Inputs!F$5</f>
        <v>472.18080000000009</v>
      </c>
      <c r="G119" s="14">
        <f>IRR_Inputs!G$5</f>
        <v>388.59840000000003</v>
      </c>
    </row>
    <row r="120" spans="1:7" x14ac:dyDescent="0.2">
      <c r="A120" s="9">
        <v>118</v>
      </c>
      <c r="B120" s="14">
        <f>IRR_Inputs!B$5</f>
        <v>494.37959999999998</v>
      </c>
      <c r="C120" s="14">
        <f>IRR_Inputs!C$5</f>
        <v>327.66720000000004</v>
      </c>
      <c r="D120" s="14">
        <f>IRR_Inputs!D$5</f>
        <v>-315.59400000000005</v>
      </c>
      <c r="E120" s="14">
        <f>IRR_Inputs!E$5</f>
        <v>281.06639999999999</v>
      </c>
      <c r="F120" s="14">
        <f>IRR_Inputs!F$5</f>
        <v>472.18080000000009</v>
      </c>
      <c r="G120" s="14">
        <f>IRR_Inputs!G$5</f>
        <v>388.59840000000003</v>
      </c>
    </row>
    <row r="121" spans="1:7" x14ac:dyDescent="0.2">
      <c r="A121" s="9">
        <v>119</v>
      </c>
      <c r="B121" s="14">
        <f>IRR_Inputs!B$5</f>
        <v>494.37959999999998</v>
      </c>
      <c r="C121" s="14">
        <f>IRR_Inputs!C$5</f>
        <v>327.66720000000004</v>
      </c>
      <c r="D121" s="14">
        <f>IRR_Inputs!D$5</f>
        <v>-315.59400000000005</v>
      </c>
      <c r="E121" s="14">
        <f>IRR_Inputs!E$5</f>
        <v>281.06639999999999</v>
      </c>
      <c r="F121" s="14">
        <f>IRR_Inputs!F$5</f>
        <v>472.18080000000009</v>
      </c>
      <c r="G121" s="14">
        <f>IRR_Inputs!G$5</f>
        <v>388.59840000000003</v>
      </c>
    </row>
    <row r="122" spans="1:7" x14ac:dyDescent="0.2">
      <c r="A122" s="9">
        <v>120</v>
      </c>
      <c r="B122" s="14">
        <f>IRR_Inputs!B$5</f>
        <v>494.37959999999998</v>
      </c>
      <c r="C122" s="14">
        <f>IRR_Inputs!C$5</f>
        <v>327.66720000000004</v>
      </c>
      <c r="D122" s="14">
        <f>IRR_Inputs!D$5</f>
        <v>-315.59400000000005</v>
      </c>
      <c r="E122" s="14">
        <f>IRR_Inputs!E$5</f>
        <v>281.06639999999999</v>
      </c>
      <c r="F122" s="14">
        <f>IRR_Inputs!F$5</f>
        <v>472.18080000000009</v>
      </c>
      <c r="G122" s="14">
        <f>IRR_Inputs!G$5</f>
        <v>388.59840000000003</v>
      </c>
    </row>
    <row r="123" spans="1:7" x14ac:dyDescent="0.2">
      <c r="A123" s="9">
        <v>121</v>
      </c>
      <c r="B123" s="14">
        <f>IRR_Inputs!B$5</f>
        <v>494.37959999999998</v>
      </c>
      <c r="C123" s="14">
        <f>IRR_Inputs!C$5</f>
        <v>327.66720000000004</v>
      </c>
      <c r="D123" s="14">
        <f>IRR_Inputs!D$5</f>
        <v>-315.59400000000005</v>
      </c>
      <c r="E123" s="14">
        <f>IRR_Inputs!E$5</f>
        <v>281.06639999999999</v>
      </c>
      <c r="F123" s="14">
        <f>IRR_Inputs!F$5</f>
        <v>472.18080000000009</v>
      </c>
      <c r="G123" s="14">
        <f>IRR_Inputs!G$5</f>
        <v>388.59840000000003</v>
      </c>
    </row>
    <row r="124" spans="1:7" x14ac:dyDescent="0.2">
      <c r="A124" s="9">
        <v>122</v>
      </c>
      <c r="B124" s="14">
        <f>IRR_Inputs!B$5</f>
        <v>494.37959999999998</v>
      </c>
      <c r="C124" s="14">
        <f>IRR_Inputs!C$5</f>
        <v>327.66720000000004</v>
      </c>
      <c r="D124" s="14">
        <f>IRR_Inputs!D$5</f>
        <v>-315.59400000000005</v>
      </c>
      <c r="E124" s="14">
        <f>IRR_Inputs!E$5</f>
        <v>281.06639999999999</v>
      </c>
      <c r="F124" s="14">
        <f>IRR_Inputs!F$5</f>
        <v>472.18080000000009</v>
      </c>
      <c r="G124" s="14">
        <f>IRR_Inputs!G$5</f>
        <v>388.59840000000003</v>
      </c>
    </row>
    <row r="125" spans="1:7" x14ac:dyDescent="0.2">
      <c r="A125" s="9">
        <v>123</v>
      </c>
      <c r="B125" s="14">
        <f>IRR_Inputs!B$5</f>
        <v>494.37959999999998</v>
      </c>
      <c r="C125" s="14">
        <f>IRR_Inputs!C$5</f>
        <v>327.66720000000004</v>
      </c>
      <c r="D125" s="14">
        <f>IRR_Inputs!D$5</f>
        <v>-315.59400000000005</v>
      </c>
      <c r="E125" s="14">
        <f>IRR_Inputs!E$5</f>
        <v>281.06639999999999</v>
      </c>
      <c r="F125" s="14">
        <f>IRR_Inputs!F$5</f>
        <v>472.18080000000009</v>
      </c>
      <c r="G125" s="14">
        <f>IRR_Inputs!G$5</f>
        <v>388.59840000000003</v>
      </c>
    </row>
    <row r="126" spans="1:7" x14ac:dyDescent="0.2">
      <c r="A126" s="9">
        <v>124</v>
      </c>
      <c r="B126" s="14">
        <f>IRR_Inputs!B$5</f>
        <v>494.37959999999998</v>
      </c>
      <c r="C126" s="14">
        <f>IRR_Inputs!C$5</f>
        <v>327.66720000000004</v>
      </c>
      <c r="D126" s="14">
        <f>IRR_Inputs!D$5</f>
        <v>-315.59400000000005</v>
      </c>
      <c r="E126" s="14">
        <f>IRR_Inputs!E$5</f>
        <v>281.06639999999999</v>
      </c>
      <c r="F126" s="14">
        <f>IRR_Inputs!F$5</f>
        <v>472.18080000000009</v>
      </c>
      <c r="G126" s="14">
        <f>IRR_Inputs!G$5</f>
        <v>388.59840000000003</v>
      </c>
    </row>
    <row r="127" spans="1:7" x14ac:dyDescent="0.2">
      <c r="A127" s="9">
        <v>125</v>
      </c>
      <c r="B127" s="14">
        <f>IRR_Inputs!B$5</f>
        <v>494.37959999999998</v>
      </c>
      <c r="C127" s="14">
        <f>IRR_Inputs!C$5</f>
        <v>327.66720000000004</v>
      </c>
      <c r="D127" s="14">
        <f>IRR_Inputs!D$5</f>
        <v>-315.59400000000005</v>
      </c>
      <c r="E127" s="14">
        <f>IRR_Inputs!E$5</f>
        <v>281.06639999999999</v>
      </c>
      <c r="F127" s="14">
        <f>IRR_Inputs!F$5</f>
        <v>472.18080000000009</v>
      </c>
      <c r="G127" s="14">
        <f>IRR_Inputs!G$5</f>
        <v>388.59840000000003</v>
      </c>
    </row>
    <row r="128" spans="1:7" x14ac:dyDescent="0.2">
      <c r="A128" s="9">
        <v>126</v>
      </c>
      <c r="B128" s="14">
        <f>IRR_Inputs!B$5</f>
        <v>494.37959999999998</v>
      </c>
      <c r="C128" s="14">
        <f>IRR_Inputs!C$5</f>
        <v>327.66720000000004</v>
      </c>
      <c r="D128" s="14">
        <f>IRR_Inputs!D$5</f>
        <v>-315.59400000000005</v>
      </c>
      <c r="E128" s="14">
        <f>IRR_Inputs!E$5</f>
        <v>281.06639999999999</v>
      </c>
      <c r="F128" s="14">
        <f>IRR_Inputs!F$5</f>
        <v>472.18080000000009</v>
      </c>
      <c r="G128" s="14">
        <f>IRR_Inputs!G$5</f>
        <v>388.59840000000003</v>
      </c>
    </row>
    <row r="129" spans="1:7" x14ac:dyDescent="0.2">
      <c r="A129" s="9">
        <v>127</v>
      </c>
      <c r="B129" s="14">
        <f>IRR_Inputs!B$5</f>
        <v>494.37959999999998</v>
      </c>
      <c r="C129" s="14">
        <f>IRR_Inputs!C$5</f>
        <v>327.66720000000004</v>
      </c>
      <c r="D129" s="14">
        <f>IRR_Inputs!D$5</f>
        <v>-315.59400000000005</v>
      </c>
      <c r="E129" s="14">
        <f>IRR_Inputs!E$5</f>
        <v>281.06639999999999</v>
      </c>
      <c r="F129" s="14">
        <f>IRR_Inputs!F$5</f>
        <v>472.18080000000009</v>
      </c>
      <c r="G129" s="14">
        <f>IRR_Inputs!G$5</f>
        <v>388.59840000000003</v>
      </c>
    </row>
    <row r="130" spans="1:7" x14ac:dyDescent="0.2">
      <c r="A130" s="9">
        <v>128</v>
      </c>
      <c r="B130" s="14">
        <f>IRR_Inputs!B$5</f>
        <v>494.37959999999998</v>
      </c>
      <c r="C130" s="14">
        <f>IRR_Inputs!C$5</f>
        <v>327.66720000000004</v>
      </c>
      <c r="D130" s="14">
        <f>IRR_Inputs!D$5</f>
        <v>-315.59400000000005</v>
      </c>
      <c r="E130" s="14">
        <f>IRR_Inputs!E$5</f>
        <v>281.06639999999999</v>
      </c>
      <c r="F130" s="14">
        <f>IRR_Inputs!F$5</f>
        <v>472.18080000000009</v>
      </c>
      <c r="G130" s="14">
        <f>IRR_Inputs!G$5</f>
        <v>388.59840000000003</v>
      </c>
    </row>
    <row r="131" spans="1:7" x14ac:dyDescent="0.2">
      <c r="A131" s="9">
        <v>129</v>
      </c>
      <c r="B131" s="14">
        <f>IRR_Inputs!B$5</f>
        <v>494.37959999999998</v>
      </c>
      <c r="C131" s="14">
        <f>IRR_Inputs!C$5</f>
        <v>327.66720000000004</v>
      </c>
      <c r="D131" s="14">
        <f>IRR_Inputs!D$5</f>
        <v>-315.59400000000005</v>
      </c>
      <c r="E131" s="14">
        <f>IRR_Inputs!E$5</f>
        <v>281.06639999999999</v>
      </c>
      <c r="F131" s="14">
        <f>IRR_Inputs!F$5</f>
        <v>472.18080000000009</v>
      </c>
      <c r="G131" s="14">
        <f>IRR_Inputs!G$5</f>
        <v>388.59840000000003</v>
      </c>
    </row>
    <row r="132" spans="1:7" x14ac:dyDescent="0.2">
      <c r="A132" s="9">
        <v>130</v>
      </c>
      <c r="B132" s="14">
        <f>IRR_Inputs!B$5</f>
        <v>494.37959999999998</v>
      </c>
      <c r="C132" s="14">
        <f>IRR_Inputs!C$5</f>
        <v>327.66720000000004</v>
      </c>
      <c r="D132" s="14">
        <f>IRR_Inputs!D$5</f>
        <v>-315.59400000000005</v>
      </c>
      <c r="E132" s="14">
        <f>IRR_Inputs!E$5</f>
        <v>281.06639999999999</v>
      </c>
      <c r="F132" s="14">
        <f>IRR_Inputs!F$5</f>
        <v>472.18080000000009</v>
      </c>
      <c r="G132" s="14">
        <f>IRR_Inputs!G$5</f>
        <v>388.59840000000003</v>
      </c>
    </row>
    <row r="133" spans="1:7" x14ac:dyDescent="0.2">
      <c r="A133" s="9">
        <v>131</v>
      </c>
      <c r="B133" s="14">
        <f>IRR_Inputs!B$5</f>
        <v>494.37959999999998</v>
      </c>
      <c r="C133" s="14">
        <f>IRR_Inputs!C$5</f>
        <v>327.66720000000004</v>
      </c>
      <c r="D133" s="14">
        <f>IRR_Inputs!D$5</f>
        <v>-315.59400000000005</v>
      </c>
      <c r="E133" s="14">
        <f>IRR_Inputs!E$5</f>
        <v>281.06639999999999</v>
      </c>
      <c r="F133" s="14">
        <f>IRR_Inputs!F$5</f>
        <v>472.18080000000009</v>
      </c>
      <c r="G133" s="14">
        <f>IRR_Inputs!G$5</f>
        <v>388.59840000000003</v>
      </c>
    </row>
    <row r="134" spans="1:7" x14ac:dyDescent="0.2">
      <c r="A134" s="9">
        <v>132</v>
      </c>
      <c r="B134" s="14">
        <f>IRR_Inputs!B$5</f>
        <v>494.37959999999998</v>
      </c>
      <c r="C134" s="14">
        <f>IRR_Inputs!C$5</f>
        <v>327.66720000000004</v>
      </c>
      <c r="D134" s="14">
        <f>IRR_Inputs!D$5</f>
        <v>-315.59400000000005</v>
      </c>
      <c r="E134" s="14">
        <f>IRR_Inputs!E$5</f>
        <v>281.06639999999999</v>
      </c>
      <c r="F134" s="14">
        <f>IRR_Inputs!F$5</f>
        <v>472.18080000000009</v>
      </c>
      <c r="G134" s="14">
        <f>IRR_Inputs!G$5</f>
        <v>388.59840000000003</v>
      </c>
    </row>
    <row r="135" spans="1:7" x14ac:dyDescent="0.2">
      <c r="A135" s="9">
        <v>133</v>
      </c>
      <c r="B135" s="14">
        <f>IRR_Inputs!B$5</f>
        <v>494.37959999999998</v>
      </c>
      <c r="C135" s="14">
        <f>IRR_Inputs!C$5</f>
        <v>327.66720000000004</v>
      </c>
      <c r="D135" s="14">
        <f>IRR_Inputs!D$5</f>
        <v>-315.59400000000005</v>
      </c>
      <c r="E135" s="14">
        <f>IRR_Inputs!E$5</f>
        <v>281.06639999999999</v>
      </c>
      <c r="F135" s="14">
        <f>IRR_Inputs!F$5</f>
        <v>472.18080000000009</v>
      </c>
      <c r="G135" s="14">
        <f>IRR_Inputs!G$5</f>
        <v>388.59840000000003</v>
      </c>
    </row>
    <row r="136" spans="1:7" x14ac:dyDescent="0.2">
      <c r="A136" s="9">
        <v>134</v>
      </c>
      <c r="B136" s="14">
        <f>IRR_Inputs!B$5</f>
        <v>494.37959999999998</v>
      </c>
      <c r="C136" s="14">
        <f>IRR_Inputs!C$5</f>
        <v>327.66720000000004</v>
      </c>
      <c r="D136" s="14">
        <f>IRR_Inputs!D$5</f>
        <v>-315.59400000000005</v>
      </c>
      <c r="E136" s="14">
        <f>IRR_Inputs!E$5</f>
        <v>281.06639999999999</v>
      </c>
      <c r="F136" s="14">
        <f>IRR_Inputs!F$5</f>
        <v>472.18080000000009</v>
      </c>
      <c r="G136" s="14">
        <f>IRR_Inputs!G$5</f>
        <v>388.59840000000003</v>
      </c>
    </row>
    <row r="137" spans="1:7" x14ac:dyDescent="0.2">
      <c r="A137" s="9">
        <v>135</v>
      </c>
      <c r="B137" s="14">
        <f>IRR_Inputs!B$5</f>
        <v>494.37959999999998</v>
      </c>
      <c r="C137" s="14">
        <f>IRR_Inputs!C$5</f>
        <v>327.66720000000004</v>
      </c>
      <c r="D137" s="14">
        <f>IRR_Inputs!D$5</f>
        <v>-315.59400000000005</v>
      </c>
      <c r="E137" s="14">
        <f>IRR_Inputs!E$5</f>
        <v>281.06639999999999</v>
      </c>
      <c r="F137" s="14">
        <f>IRR_Inputs!F$5</f>
        <v>472.18080000000009</v>
      </c>
      <c r="G137" s="14">
        <f>IRR_Inputs!G$5</f>
        <v>388.59840000000003</v>
      </c>
    </row>
    <row r="138" spans="1:7" x14ac:dyDescent="0.2">
      <c r="A138" s="9">
        <v>136</v>
      </c>
      <c r="B138" s="14">
        <f>IRR_Inputs!B$5</f>
        <v>494.37959999999998</v>
      </c>
      <c r="C138" s="14">
        <f>IRR_Inputs!C$5</f>
        <v>327.66720000000004</v>
      </c>
      <c r="D138" s="14">
        <f>IRR_Inputs!D$5</f>
        <v>-315.59400000000005</v>
      </c>
      <c r="E138" s="14">
        <f>IRR_Inputs!E$5</f>
        <v>281.06639999999999</v>
      </c>
      <c r="F138" s="14">
        <f>IRR_Inputs!F$5</f>
        <v>472.18080000000009</v>
      </c>
      <c r="G138" s="14">
        <f>IRR_Inputs!G$5</f>
        <v>388.59840000000003</v>
      </c>
    </row>
    <row r="139" spans="1:7" x14ac:dyDescent="0.2">
      <c r="A139" s="9">
        <v>137</v>
      </c>
      <c r="B139" s="14">
        <f>IRR_Inputs!B$5</f>
        <v>494.37959999999998</v>
      </c>
      <c r="C139" s="14">
        <f>IRR_Inputs!C$5</f>
        <v>327.66720000000004</v>
      </c>
      <c r="D139" s="14">
        <f>IRR_Inputs!D$5</f>
        <v>-315.59400000000005</v>
      </c>
      <c r="E139" s="14">
        <f>IRR_Inputs!E$5</f>
        <v>281.06639999999999</v>
      </c>
      <c r="F139" s="14">
        <f>IRR_Inputs!F$5</f>
        <v>472.18080000000009</v>
      </c>
      <c r="G139" s="14">
        <f>IRR_Inputs!G$5</f>
        <v>388.59840000000003</v>
      </c>
    </row>
    <row r="140" spans="1:7" x14ac:dyDescent="0.2">
      <c r="A140" s="9">
        <v>138</v>
      </c>
      <c r="B140" s="14">
        <f>IRR_Inputs!B$5</f>
        <v>494.37959999999998</v>
      </c>
      <c r="C140" s="14">
        <f>IRR_Inputs!C$5</f>
        <v>327.66720000000004</v>
      </c>
      <c r="D140" s="14">
        <f>IRR_Inputs!D$5</f>
        <v>-315.59400000000005</v>
      </c>
      <c r="E140" s="14">
        <f>IRR_Inputs!E$5</f>
        <v>281.06639999999999</v>
      </c>
      <c r="F140" s="14">
        <f>IRR_Inputs!F$5</f>
        <v>472.18080000000009</v>
      </c>
      <c r="G140" s="14">
        <f>IRR_Inputs!G$5</f>
        <v>388.59840000000003</v>
      </c>
    </row>
    <row r="141" spans="1:7" x14ac:dyDescent="0.2">
      <c r="A141" s="9">
        <v>139</v>
      </c>
      <c r="B141" s="14">
        <f>IRR_Inputs!B$5</f>
        <v>494.37959999999998</v>
      </c>
      <c r="C141" s="14">
        <f>IRR_Inputs!C$5</f>
        <v>327.66720000000004</v>
      </c>
      <c r="D141" s="14">
        <f>IRR_Inputs!D$5</f>
        <v>-315.59400000000005</v>
      </c>
      <c r="E141" s="14">
        <f>IRR_Inputs!E$5</f>
        <v>281.06639999999999</v>
      </c>
      <c r="F141" s="14">
        <f>IRR_Inputs!F$5</f>
        <v>472.18080000000009</v>
      </c>
      <c r="G141" s="14">
        <f>IRR_Inputs!G$5</f>
        <v>388.59840000000003</v>
      </c>
    </row>
    <row r="142" spans="1:7" x14ac:dyDescent="0.2">
      <c r="A142" s="9">
        <v>140</v>
      </c>
      <c r="B142" s="14">
        <f>IRR_Inputs!B$5</f>
        <v>494.37959999999998</v>
      </c>
      <c r="C142" s="14">
        <f>IRR_Inputs!C$5</f>
        <v>327.66720000000004</v>
      </c>
      <c r="D142" s="14">
        <f>IRR_Inputs!D$5</f>
        <v>-315.59400000000005</v>
      </c>
      <c r="E142" s="14">
        <f>IRR_Inputs!E$5</f>
        <v>281.06639999999999</v>
      </c>
      <c r="F142" s="14">
        <f>IRR_Inputs!F$5</f>
        <v>472.18080000000009</v>
      </c>
      <c r="G142" s="14">
        <f>IRR_Inputs!G$5</f>
        <v>388.59840000000003</v>
      </c>
    </row>
    <row r="143" spans="1:7" x14ac:dyDescent="0.2">
      <c r="A143" s="9">
        <v>141</v>
      </c>
      <c r="B143" s="14">
        <f>IRR_Inputs!B$5</f>
        <v>494.37959999999998</v>
      </c>
      <c r="C143" s="14">
        <f>IRR_Inputs!C$5</f>
        <v>327.66720000000004</v>
      </c>
      <c r="D143" s="14">
        <f>IRR_Inputs!D$5</f>
        <v>-315.59400000000005</v>
      </c>
      <c r="E143" s="14">
        <f>IRR_Inputs!E$5</f>
        <v>281.06639999999999</v>
      </c>
      <c r="F143" s="14">
        <f>IRR_Inputs!F$5</f>
        <v>472.18080000000009</v>
      </c>
      <c r="G143" s="14">
        <f>IRR_Inputs!G$5</f>
        <v>388.59840000000003</v>
      </c>
    </row>
    <row r="144" spans="1:7" x14ac:dyDescent="0.2">
      <c r="A144" s="9">
        <v>142</v>
      </c>
      <c r="B144" s="14">
        <f>IRR_Inputs!B$5</f>
        <v>494.37959999999998</v>
      </c>
      <c r="C144" s="14">
        <f>IRR_Inputs!C$5</f>
        <v>327.66720000000004</v>
      </c>
      <c r="D144" s="14">
        <f>IRR_Inputs!D$5</f>
        <v>-315.59400000000005</v>
      </c>
      <c r="E144" s="14">
        <f>IRR_Inputs!E$5</f>
        <v>281.06639999999999</v>
      </c>
      <c r="F144" s="14">
        <f>IRR_Inputs!F$5</f>
        <v>472.18080000000009</v>
      </c>
      <c r="G144" s="14">
        <f>IRR_Inputs!G$5</f>
        <v>388.59840000000003</v>
      </c>
    </row>
    <row r="145" spans="1:7" x14ac:dyDescent="0.2">
      <c r="A145" s="9">
        <v>143</v>
      </c>
      <c r="B145" s="14">
        <f>IRR_Inputs!B$5</f>
        <v>494.37959999999998</v>
      </c>
      <c r="C145" s="14">
        <f>IRR_Inputs!C$5</f>
        <v>327.66720000000004</v>
      </c>
      <c r="D145" s="14">
        <f>IRR_Inputs!D$5</f>
        <v>-315.59400000000005</v>
      </c>
      <c r="E145" s="14">
        <f>IRR_Inputs!E$5</f>
        <v>281.06639999999999</v>
      </c>
      <c r="F145" s="14">
        <f>IRR_Inputs!F$5</f>
        <v>472.18080000000009</v>
      </c>
      <c r="G145" s="14">
        <f>IRR_Inputs!G$5</f>
        <v>388.59840000000003</v>
      </c>
    </row>
    <row r="146" spans="1:7" x14ac:dyDescent="0.2">
      <c r="A146" s="9">
        <v>144</v>
      </c>
      <c r="B146" s="14">
        <f>IRR_Inputs!B$5</f>
        <v>494.37959999999998</v>
      </c>
      <c r="C146" s="14">
        <f>IRR_Inputs!C$5</f>
        <v>327.66720000000004</v>
      </c>
      <c r="D146" s="14">
        <f>IRR_Inputs!D$5</f>
        <v>-315.59400000000005</v>
      </c>
      <c r="E146" s="14">
        <f>IRR_Inputs!E$5</f>
        <v>281.06639999999999</v>
      </c>
      <c r="F146" s="14">
        <f>IRR_Inputs!F$5</f>
        <v>472.18080000000009</v>
      </c>
      <c r="G146" s="14">
        <f>IRR_Inputs!G$5</f>
        <v>388.59840000000003</v>
      </c>
    </row>
    <row r="147" spans="1:7" x14ac:dyDescent="0.2">
      <c r="A147" s="9">
        <v>145</v>
      </c>
      <c r="B147" s="14">
        <f>IRR_Inputs!B$5</f>
        <v>494.37959999999998</v>
      </c>
      <c r="C147" s="14">
        <f>IRR_Inputs!C$5</f>
        <v>327.66720000000004</v>
      </c>
      <c r="D147" s="14">
        <f>IRR_Inputs!D$5</f>
        <v>-315.59400000000005</v>
      </c>
      <c r="E147" s="14">
        <f>IRR_Inputs!E$5</f>
        <v>281.06639999999999</v>
      </c>
      <c r="F147" s="14">
        <f>IRR_Inputs!F$5</f>
        <v>472.18080000000009</v>
      </c>
      <c r="G147" s="14">
        <f>IRR_Inputs!G$5</f>
        <v>388.59840000000003</v>
      </c>
    </row>
    <row r="148" spans="1:7" x14ac:dyDescent="0.2">
      <c r="A148" s="9">
        <v>146</v>
      </c>
      <c r="B148" s="14">
        <f>IRR_Inputs!B$5</f>
        <v>494.37959999999998</v>
      </c>
      <c r="C148" s="14">
        <f>IRR_Inputs!C$5</f>
        <v>327.66720000000004</v>
      </c>
      <c r="D148" s="14">
        <f>IRR_Inputs!D$5</f>
        <v>-315.59400000000005</v>
      </c>
      <c r="E148" s="14">
        <f>IRR_Inputs!E$5</f>
        <v>281.06639999999999</v>
      </c>
      <c r="F148" s="14">
        <f>IRR_Inputs!F$5</f>
        <v>472.18080000000009</v>
      </c>
      <c r="G148" s="14">
        <f>IRR_Inputs!G$5</f>
        <v>388.59840000000003</v>
      </c>
    </row>
    <row r="149" spans="1:7" x14ac:dyDescent="0.2">
      <c r="A149" s="9">
        <v>147</v>
      </c>
      <c r="B149" s="14">
        <f>IRR_Inputs!B$5</f>
        <v>494.37959999999998</v>
      </c>
      <c r="C149" s="14">
        <f>IRR_Inputs!C$5</f>
        <v>327.66720000000004</v>
      </c>
      <c r="D149" s="14">
        <f>IRR_Inputs!D$5</f>
        <v>-315.59400000000005</v>
      </c>
      <c r="E149" s="14">
        <f>IRR_Inputs!E$5</f>
        <v>281.06639999999999</v>
      </c>
      <c r="F149" s="14">
        <f>IRR_Inputs!F$5</f>
        <v>472.18080000000009</v>
      </c>
      <c r="G149" s="14">
        <f>IRR_Inputs!G$5</f>
        <v>388.59840000000003</v>
      </c>
    </row>
    <row r="150" spans="1:7" x14ac:dyDescent="0.2">
      <c r="A150" s="9">
        <v>148</v>
      </c>
      <c r="B150" s="14">
        <f>IRR_Inputs!B$5</f>
        <v>494.37959999999998</v>
      </c>
      <c r="C150" s="14">
        <f>IRR_Inputs!C$5</f>
        <v>327.66720000000004</v>
      </c>
      <c r="D150" s="14">
        <f>IRR_Inputs!D$5</f>
        <v>-315.59400000000005</v>
      </c>
      <c r="E150" s="14">
        <f>IRR_Inputs!E$5</f>
        <v>281.06639999999999</v>
      </c>
      <c r="F150" s="14">
        <f>IRR_Inputs!F$5</f>
        <v>472.18080000000009</v>
      </c>
      <c r="G150" s="14">
        <f>IRR_Inputs!G$5</f>
        <v>388.59840000000003</v>
      </c>
    </row>
    <row r="151" spans="1:7" x14ac:dyDescent="0.2">
      <c r="A151" s="9">
        <v>149</v>
      </c>
      <c r="B151" s="14">
        <f>IRR_Inputs!B$5</f>
        <v>494.37959999999998</v>
      </c>
      <c r="C151" s="14">
        <f>IRR_Inputs!C$5</f>
        <v>327.66720000000004</v>
      </c>
      <c r="D151" s="14">
        <f>IRR_Inputs!D$5</f>
        <v>-315.59400000000005</v>
      </c>
      <c r="E151" s="14">
        <f>IRR_Inputs!E$5</f>
        <v>281.06639999999999</v>
      </c>
      <c r="F151" s="14">
        <f>IRR_Inputs!F$5</f>
        <v>472.18080000000009</v>
      </c>
      <c r="G151" s="14">
        <f>IRR_Inputs!G$5</f>
        <v>388.59840000000003</v>
      </c>
    </row>
    <row r="152" spans="1:7" x14ac:dyDescent="0.2">
      <c r="A152" s="9">
        <v>150</v>
      </c>
      <c r="B152" s="14">
        <f>IRR_Inputs!B$5</f>
        <v>494.37959999999998</v>
      </c>
      <c r="C152" s="14">
        <f>IRR_Inputs!C$5</f>
        <v>327.66720000000004</v>
      </c>
      <c r="D152" s="14">
        <f>IRR_Inputs!D$5</f>
        <v>-315.59400000000005</v>
      </c>
      <c r="E152" s="14">
        <f>IRR_Inputs!E$5</f>
        <v>281.06639999999999</v>
      </c>
      <c r="F152" s="14">
        <f>IRR_Inputs!F$5</f>
        <v>472.18080000000009</v>
      </c>
      <c r="G152" s="14">
        <f>IRR_Inputs!G$5</f>
        <v>388.59840000000003</v>
      </c>
    </row>
    <row r="153" spans="1:7" x14ac:dyDescent="0.2">
      <c r="A153" s="9">
        <v>151</v>
      </c>
      <c r="B153" s="14">
        <f>IRR_Inputs!B$5</f>
        <v>494.37959999999998</v>
      </c>
      <c r="C153" s="14">
        <f>IRR_Inputs!C$5</f>
        <v>327.66720000000004</v>
      </c>
      <c r="D153" s="14">
        <f>IRR_Inputs!D$5</f>
        <v>-315.59400000000005</v>
      </c>
      <c r="E153" s="14">
        <f>IRR_Inputs!E$5</f>
        <v>281.06639999999999</v>
      </c>
      <c r="F153" s="14">
        <f>IRR_Inputs!F$5</f>
        <v>472.18080000000009</v>
      </c>
      <c r="G153" s="14">
        <f>IRR_Inputs!G$5</f>
        <v>388.59840000000003</v>
      </c>
    </row>
    <row r="154" spans="1:7" x14ac:dyDescent="0.2">
      <c r="A154" s="9">
        <v>152</v>
      </c>
      <c r="B154" s="14">
        <f>IRR_Inputs!B$5</f>
        <v>494.37959999999998</v>
      </c>
      <c r="C154" s="14">
        <f>IRR_Inputs!C$5</f>
        <v>327.66720000000004</v>
      </c>
      <c r="D154" s="14">
        <f>IRR_Inputs!D$5</f>
        <v>-315.59400000000005</v>
      </c>
      <c r="E154" s="14">
        <f>IRR_Inputs!E$5</f>
        <v>281.06639999999999</v>
      </c>
      <c r="F154" s="14">
        <f>IRR_Inputs!F$5</f>
        <v>472.18080000000009</v>
      </c>
      <c r="G154" s="14">
        <f>IRR_Inputs!G$5</f>
        <v>388.59840000000003</v>
      </c>
    </row>
    <row r="155" spans="1:7" x14ac:dyDescent="0.2">
      <c r="A155" s="9">
        <v>153</v>
      </c>
      <c r="B155" s="14">
        <f>IRR_Inputs!B$5</f>
        <v>494.37959999999998</v>
      </c>
      <c r="C155" s="14">
        <f>IRR_Inputs!C$5</f>
        <v>327.66720000000004</v>
      </c>
      <c r="D155" s="14">
        <f>IRR_Inputs!D$5</f>
        <v>-315.59400000000005</v>
      </c>
      <c r="E155" s="14">
        <f>IRR_Inputs!E$5</f>
        <v>281.06639999999999</v>
      </c>
      <c r="F155" s="14">
        <f>IRR_Inputs!F$5</f>
        <v>472.18080000000009</v>
      </c>
      <c r="G155" s="14">
        <f>IRR_Inputs!G$5</f>
        <v>388.59840000000003</v>
      </c>
    </row>
    <row r="156" spans="1:7" x14ac:dyDescent="0.2">
      <c r="A156" s="9">
        <v>154</v>
      </c>
      <c r="B156" s="14">
        <f>IRR_Inputs!B$5</f>
        <v>494.37959999999998</v>
      </c>
      <c r="C156" s="14">
        <f>IRR_Inputs!C$5</f>
        <v>327.66720000000004</v>
      </c>
      <c r="D156" s="14">
        <f>IRR_Inputs!D$5</f>
        <v>-315.59400000000005</v>
      </c>
      <c r="E156" s="14">
        <f>IRR_Inputs!E$5</f>
        <v>281.06639999999999</v>
      </c>
      <c r="F156" s="14">
        <f>IRR_Inputs!F$5</f>
        <v>472.18080000000009</v>
      </c>
      <c r="G156" s="14">
        <f>IRR_Inputs!G$5</f>
        <v>388.59840000000003</v>
      </c>
    </row>
    <row r="157" spans="1:7" x14ac:dyDescent="0.2">
      <c r="A157" s="9">
        <v>155</v>
      </c>
      <c r="B157" s="14">
        <f>IRR_Inputs!B$5</f>
        <v>494.37959999999998</v>
      </c>
      <c r="C157" s="14">
        <f>IRR_Inputs!C$5</f>
        <v>327.66720000000004</v>
      </c>
      <c r="D157" s="14">
        <f>IRR_Inputs!D$5</f>
        <v>-315.59400000000005</v>
      </c>
      <c r="E157" s="14">
        <f>IRR_Inputs!E$5</f>
        <v>281.06639999999999</v>
      </c>
      <c r="F157" s="14">
        <f>IRR_Inputs!F$5</f>
        <v>472.18080000000009</v>
      </c>
      <c r="G157" s="14">
        <f>IRR_Inputs!G$5</f>
        <v>388.59840000000003</v>
      </c>
    </row>
    <row r="158" spans="1:7" x14ac:dyDescent="0.2">
      <c r="A158" s="9">
        <v>156</v>
      </c>
      <c r="B158" s="14">
        <f>IRR_Inputs!B$5</f>
        <v>494.37959999999998</v>
      </c>
      <c r="C158" s="14">
        <f>IRR_Inputs!C$5</f>
        <v>327.66720000000004</v>
      </c>
      <c r="D158" s="14">
        <f>IRR_Inputs!D$5</f>
        <v>-315.59400000000005</v>
      </c>
      <c r="E158" s="14">
        <f>IRR_Inputs!E$5</f>
        <v>281.06639999999999</v>
      </c>
      <c r="F158" s="14">
        <f>IRR_Inputs!F$5</f>
        <v>472.18080000000009</v>
      </c>
      <c r="G158" s="14">
        <f>IRR_Inputs!G$5</f>
        <v>388.59840000000003</v>
      </c>
    </row>
    <row r="159" spans="1:7" x14ac:dyDescent="0.2">
      <c r="A159" s="9">
        <v>157</v>
      </c>
      <c r="B159" s="14">
        <f>IRR_Inputs!B$5</f>
        <v>494.37959999999998</v>
      </c>
      <c r="C159" s="14">
        <f>IRR_Inputs!C$5</f>
        <v>327.66720000000004</v>
      </c>
      <c r="D159" s="14">
        <f>IRR_Inputs!D$5</f>
        <v>-315.59400000000005</v>
      </c>
      <c r="E159" s="14">
        <f>IRR_Inputs!E$5</f>
        <v>281.06639999999999</v>
      </c>
      <c r="F159" s="14">
        <f>IRR_Inputs!F$5</f>
        <v>472.18080000000009</v>
      </c>
      <c r="G159" s="14">
        <f>IRR_Inputs!G$5</f>
        <v>388.59840000000003</v>
      </c>
    </row>
    <row r="160" spans="1:7" x14ac:dyDescent="0.2">
      <c r="A160" s="9">
        <v>158</v>
      </c>
      <c r="B160" s="14">
        <f>IRR_Inputs!B$5</f>
        <v>494.37959999999998</v>
      </c>
      <c r="C160" s="14">
        <f>IRR_Inputs!C$5</f>
        <v>327.66720000000004</v>
      </c>
      <c r="D160" s="14">
        <f>IRR_Inputs!D$5</f>
        <v>-315.59400000000005</v>
      </c>
      <c r="E160" s="14">
        <f>IRR_Inputs!E$5</f>
        <v>281.06639999999999</v>
      </c>
      <c r="F160" s="14">
        <f>IRR_Inputs!F$5</f>
        <v>472.18080000000009</v>
      </c>
      <c r="G160" s="14">
        <f>IRR_Inputs!G$5</f>
        <v>388.59840000000003</v>
      </c>
    </row>
    <row r="161" spans="1:7" x14ac:dyDescent="0.2">
      <c r="A161" s="9">
        <v>159</v>
      </c>
      <c r="B161" s="14">
        <f>IRR_Inputs!B$5</f>
        <v>494.37959999999998</v>
      </c>
      <c r="C161" s="14">
        <f>IRR_Inputs!C$5</f>
        <v>327.66720000000004</v>
      </c>
      <c r="D161" s="14">
        <f>IRR_Inputs!D$5</f>
        <v>-315.59400000000005</v>
      </c>
      <c r="E161" s="14">
        <f>IRR_Inputs!E$5</f>
        <v>281.06639999999999</v>
      </c>
      <c r="F161" s="14">
        <f>IRR_Inputs!F$5</f>
        <v>472.18080000000009</v>
      </c>
      <c r="G161" s="14">
        <f>IRR_Inputs!G$5</f>
        <v>388.59840000000003</v>
      </c>
    </row>
    <row r="162" spans="1:7" x14ac:dyDescent="0.2">
      <c r="A162" s="9">
        <v>160</v>
      </c>
      <c r="B162" s="14">
        <f>IRR_Inputs!B$5</f>
        <v>494.37959999999998</v>
      </c>
      <c r="C162" s="14">
        <f>IRR_Inputs!C$5</f>
        <v>327.66720000000004</v>
      </c>
      <c r="D162" s="14">
        <f>IRR_Inputs!D$5</f>
        <v>-315.59400000000005</v>
      </c>
      <c r="E162" s="14">
        <f>IRR_Inputs!E$5</f>
        <v>281.06639999999999</v>
      </c>
      <c r="F162" s="14">
        <f>IRR_Inputs!F$5</f>
        <v>472.18080000000009</v>
      </c>
      <c r="G162" s="14">
        <f>IRR_Inputs!G$5</f>
        <v>388.59840000000003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Table4_Cost_Benefit_Analysis</vt:lpstr>
      <vt:lpstr>Nominal_cost_bsl_year</vt:lpstr>
      <vt:lpstr>IRR_Inputs</vt:lpstr>
      <vt:lpstr>IRR_Calculations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MDieci</dc:creator>
  <cp:lastModifiedBy>MDieci</cp:lastModifiedBy>
  <dcterms:created xsi:type="dcterms:W3CDTF">2015-05-14T22:01:04Z</dcterms:created>
  <dcterms:modified xsi:type="dcterms:W3CDTF">2015-05-15T14:52:29Z</dcterms:modified>
</cp:coreProperties>
</file>